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6920" windowHeight="6920" firstSheet="1" activeTab="1"/>
  </bookViews>
  <sheets>
    <sheet name="Original_Dataset" sheetId="1" r:id="rId1"/>
    <sheet name="CopyOfSalesDataset" sheetId="4" r:id="rId2"/>
  </sheets>
  <definedNames>
    <definedName name="_xlnm._FilterDatabase" localSheetId="1" hidden="1">CopyOfSalesDataset!$A$1:$I$50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<sst xmlns="http://schemas.openxmlformats.org/spreadsheetml/2006/main" count="240" uniqueCount="84">
  <si>
    <t>OrderDate</t>
  </si>
  <si>
    <t>Region</t>
  </si>
  <si>
    <t>Rep</t>
  </si>
  <si>
    <t>Item</t>
  </si>
  <si>
    <t>Units</t>
  </si>
  <si>
    <t>Unit Cost</t>
  </si>
  <si>
    <t>Total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</si>
  <si>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</si>
  <si>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</si>
  <si>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</si>
  <si>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</si>
  <si>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</si>
  <si>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</si>
  <si>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</si>
  <si>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</si>
  <si>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</si>
  <si>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</si>
  <si>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</si>
  <si>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</si>
  <si>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</si>
  <si>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</si>
  <si>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</si>
  <si>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</si>
  <si>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</si>
  <si>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</si>
  <si>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</si>
  <si>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Monthly</t>
  </si>
  <si>
    <t>Year</t>
  </si>
  <si>
    <t>Total (Ksh)</t>
  </si>
  <si>
    <t>Order Cartegory</t>
  </si>
  <si>
    <t>SalessAnalysis By Time</t>
  </si>
  <si>
    <t>Sum of Total (Ksh)</t>
  </si>
  <si>
    <t xml:space="preserve">     1.  December recorded the highest total sales  likely due to holiday</t>
  </si>
  <si>
    <t>January</t>
  </si>
  <si>
    <t>shopping or end of year demand</t>
  </si>
  <si>
    <t>February</t>
  </si>
  <si>
    <t xml:space="preserve">      2. March was the slowest month</t>
  </si>
  <si>
    <t>March</t>
  </si>
  <si>
    <t>this is due to no major holidays,School affecting buying patterns</t>
  </si>
  <si>
    <t>April</t>
  </si>
  <si>
    <t>and may be seasonal demand is low</t>
  </si>
  <si>
    <t>May</t>
  </si>
  <si>
    <t>June</t>
  </si>
  <si>
    <t xml:space="preserve">   3. Evidence of seasonal patterns is shown in the month of December,July,February</t>
  </si>
  <si>
    <t>July</t>
  </si>
  <si>
    <t>recording high sales and they have major holidays and schools are close during those months</t>
  </si>
  <si>
    <t>August</t>
  </si>
  <si>
    <t>Comparing to the emaining months it shows clearly seasonal patterns</t>
  </si>
  <si>
    <t>September</t>
  </si>
  <si>
    <t>October</t>
  </si>
  <si>
    <t>November</t>
  </si>
  <si>
    <t>December</t>
  </si>
  <si>
    <t>Grand Total</t>
  </si>
  <si>
    <t>SalesAnalysis By Product</t>
  </si>
  <si>
    <t xml:space="preserve">  1. Binder sells the most units, so its the crowd favorite</t>
  </si>
  <si>
    <t xml:space="preserve">   2. Binder also generate the most Revenue , so its the most</t>
  </si>
  <si>
    <t>valuable item</t>
  </si>
  <si>
    <t>so High volume does not always equal high revenue;unit price matters</t>
  </si>
  <si>
    <r>
      <rPr>
        <b/>
        <sz val="14"/>
        <color theme="1"/>
        <rFont val="Calibri"/>
        <charset val="134"/>
        <scheme val="minor"/>
      </rPr>
      <t>SaleAnalysis By Representativ</t>
    </r>
    <r>
      <rPr>
        <sz val="14"/>
        <color theme="1"/>
        <rFont val="Calibri"/>
        <charset val="134"/>
        <scheme val="minor"/>
      </rPr>
      <t>es</t>
    </r>
  </si>
  <si>
    <t xml:space="preserve">   1.  Kivel is the most revenue generator</t>
  </si>
  <si>
    <t xml:space="preserve">   2 . Jones sold the most units but His revenue is low compared to that of Kivel </t>
  </si>
  <si>
    <t>So Revenue doesnt align with the unit sold</t>
  </si>
  <si>
    <t>SalesAnalysis By Region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</si>
  <si>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</si>
  <si>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</si>
  <si>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</si>
  <si>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</si>
  <si>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</si>
  <si>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</si>
  <si>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</si>
  <si>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</si>
  <si>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</si>
  <si>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Sum of Total (Ksh)2</t>
  </si>
  <si>
    <t>1.  Central Perform best</t>
  </si>
  <si>
    <t>2.  West perform worst may be due to lower demand</t>
  </si>
  <si>
    <t>AverageSale</t>
  </si>
  <si>
    <t>fewer Customers or marketing strategy in that region</t>
  </si>
  <si>
    <t>MaximumSale</t>
  </si>
  <si>
    <t>3.  Revenue differences between regions are significant</t>
  </si>
  <si>
    <t>MinimumSale</t>
  </si>
  <si>
    <t>as shown by the variation in percentage contributions</t>
  </si>
  <si>
    <t>Total Number of High Values</t>
  </si>
  <si>
    <t>Total Number of Normal Values</t>
  </si>
  <si>
    <t>Sum Of High Values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</si>
</sst>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m/d/yyyy;@"/>
    <numFmt numFmtId="180" formatCode="0_);[Red]\(0\)"/>
  </numFmts>
  <fonts count="3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theme="8" tint="-0.25"/>
      <name val="Calibri"/>
      <charset val="134"/>
      <scheme val="minor"/>
    </font>
    <font>
      <b/>
      <sz val="14"/>
      <color theme="1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B050"/>
      <name val="Calibri"/>
      <charset val="134"/>
    </font>
    <font>
      <b/>
      <sz val="12"/>
      <color rgb="FF00B050"/>
      <name val="Calibri"/>
      <charset val="134"/>
      <scheme val="minor"/>
    </font>
    <font>
      <b/>
      <sz val="12"/>
      <color rgb="FF00B050"/>
      <name val="Calibri"/>
      <charset val="134"/>
    </font>
    <font>
      <b/>
      <sz val="14"/>
      <color theme="8" tint="-0.25"/>
      <name val="Calibri"/>
      <charset val="134"/>
      <scheme val="minor"/>
    </font>
    <font>
      <sz val="11"/>
      <color rgb="FF00B050"/>
      <name val="Arial Black"/>
      <charset val="134"/>
    </font>
    <font>
      <sz val="14"/>
      <color theme="1"/>
      <name val="Calibri"/>
      <charset val="134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4"/>
      <color rgb="FF92D050"/>
      <name val="Calibri"/>
      <charset val="134"/>
    </font>
    <font>
      <b/>
      <sz val="14"/>
      <color rgb="FFFF0000"/>
      <name val="Calibri"/>
      <charset val="134"/>
    </font>
    <font>
      <sz val="11"/>
      <color theme="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60">
    <xf numFmtId="0" fontId="0" fillId="0" borderId="0" xfId="0"/>
    <xf numFmtId="178" fontId="1" fillId="0" borderId="0" xfId="0" applyNumberFormat="1" applyFont="1"/>
    <xf numFmtId="0" fontId="1" fillId="0" borderId="0" xfId="0" applyFont="1" applyAlignment="1">
      <alignment horizontal="left"/>
    </xf>
    <xf numFmtId="1" fontId="1" fillId="0" borderId="0" xfId="0" applyNumberFormat="1" applyFont="1"/>
    <xf numFmtId="2" fontId="1" fillId="0" borderId="0" xfId="0" applyNumberFormat="1" applyFont="1" applyAlignment="1"/>
    <xf numFmtId="4" fontId="1" fillId="0" borderId="0" xfId="0" applyNumberFormat="1" applyFont="1" applyAlignment="1"/>
    <xf numFmtId="49" fontId="2" fillId="0" borderId="0" xfId="0" applyNumberFormat="1" applyFont="1"/>
    <xf numFmtId="0" fontId="1" fillId="0" borderId="0" xfId="0" applyFont="1"/>
    <xf numFmtId="178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1" fontId="3" fillId="0" borderId="0" xfId="0" applyNumberFormat="1" applyFont="1" applyBorder="1" applyAlignment="1">
      <alignment vertical="center" wrapText="1"/>
    </xf>
    <xf numFmtId="2" fontId="3" fillId="0" borderId="0" xfId="0" applyNumberFormat="1" applyFont="1" applyBorder="1" applyAlignment="1">
      <alignment vertical="center" wrapText="1"/>
    </xf>
    <xf numFmtId="4" fontId="3" fillId="0" borderId="0" xfId="0" applyNumberFormat="1" applyFont="1" applyBorder="1" applyAlignment="1">
      <alignment vertical="center" wrapText="1"/>
    </xf>
    <xf numFmtId="0" fontId="4" fillId="0" borderId="0" xfId="0" applyFont="1"/>
    <xf numFmtId="179" fontId="5" fillId="0" borderId="0" xfId="0" applyNumberFormat="1" applyFont="1" applyBorder="1" applyAlignment="1">
      <alignment horizontal="left" vertical="center" wrapText="1"/>
    </xf>
    <xf numFmtId="0" fontId="6" fillId="0" borderId="0" xfId="0" applyFont="1"/>
    <xf numFmtId="0" fontId="6" fillId="0" borderId="0" xfId="0" applyNumberFormat="1" applyFont="1"/>
    <xf numFmtId="0" fontId="6" fillId="0" borderId="0" xfId="0" applyFont="1" applyAlignment="1">
      <alignment horizontal="left"/>
    </xf>
    <xf numFmtId="1" fontId="7" fillId="0" borderId="0" xfId="0" applyNumberFormat="1" applyFont="1" applyBorder="1" applyAlignment="1">
      <alignment horizontal="right" vertical="center" wrapText="1"/>
    </xf>
    <xf numFmtId="2" fontId="7" fillId="0" borderId="0" xfId="0" applyNumberFormat="1" applyFont="1" applyBorder="1" applyAlignment="1">
      <alignment vertical="center" wrapText="1"/>
    </xf>
    <xf numFmtId="4" fontId="7" fillId="0" borderId="0" xfId="0" applyNumberFormat="1" applyFont="1" applyBorder="1" applyAlignment="1">
      <alignment vertical="center" wrapText="1"/>
    </xf>
    <xf numFmtId="49" fontId="8" fillId="0" borderId="0" xfId="0" applyNumberFormat="1" applyFont="1"/>
    <xf numFmtId="0" fontId="9" fillId="0" borderId="0" xfId="0" applyFont="1" applyAlignment="1">
      <alignment horizontal="left"/>
    </xf>
    <xf numFmtId="58" fontId="7" fillId="0" borderId="0" xfId="0" applyNumberFormat="1" applyFont="1" applyBorder="1" applyAlignment="1">
      <alignment horizontal="left" vertical="center" wrapText="1"/>
    </xf>
    <xf numFmtId="0" fontId="6" fillId="0" borderId="0" xfId="0" applyFont="1" applyBorder="1"/>
    <xf numFmtId="0" fontId="6" fillId="0" borderId="0" xfId="0" applyNumberFormat="1" applyFont="1" applyBorder="1"/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right" vertical="center" wrapText="1"/>
    </xf>
    <xf numFmtId="179" fontId="10" fillId="0" borderId="0" xfId="0" applyNumberFormat="1" applyFont="1" applyBorder="1" applyAlignment="1">
      <alignment horizontal="left" vertical="center" wrapText="1"/>
    </xf>
    <xf numFmtId="0" fontId="11" fillId="0" borderId="0" xfId="0" applyFont="1"/>
    <xf numFmtId="0" fontId="11" fillId="0" borderId="0" xfId="0" applyNumberFormat="1" applyFont="1"/>
    <xf numFmtId="0" fontId="11" fillId="0" borderId="0" xfId="0" applyFont="1" applyAlignment="1">
      <alignment horizontal="left"/>
    </xf>
    <xf numFmtId="1" fontId="12" fillId="0" borderId="0" xfId="0" applyNumberFormat="1" applyFont="1" applyBorder="1" applyAlignment="1">
      <alignment horizontal="right" vertical="center" wrapText="1"/>
    </xf>
    <xf numFmtId="2" fontId="12" fillId="0" borderId="0" xfId="0" applyNumberFormat="1" applyFont="1" applyBorder="1" applyAlignment="1">
      <alignment vertical="center" wrapText="1"/>
    </xf>
    <xf numFmtId="4" fontId="12" fillId="0" borderId="0" xfId="0" applyNumberFormat="1" applyFont="1" applyBorder="1" applyAlignment="1">
      <alignment vertical="center" wrapText="1"/>
    </xf>
    <xf numFmtId="58" fontId="5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0" fontId="3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4" fontId="3" fillId="0" borderId="0" xfId="0" applyNumberFormat="1" applyFont="1" applyAlignment="1">
      <alignment horizontal="right" vertical="center" wrapText="1"/>
    </xf>
    <xf numFmtId="10" fontId="0" fillId="0" borderId="0" xfId="0" applyNumberFormat="1"/>
    <xf numFmtId="4" fontId="13" fillId="0" borderId="0" xfId="0" applyNumberFormat="1" applyFont="1" applyAlignment="1">
      <alignment horizontal="right" vertical="center" wrapText="1"/>
    </xf>
    <xf numFmtId="4" fontId="5" fillId="0" borderId="0" xfId="0" applyNumberFormat="1" applyFont="1" applyAlignment="1">
      <alignment horizontal="right" vertical="center" wrapText="1"/>
    </xf>
    <xf numFmtId="4" fontId="14" fillId="0" borderId="0" xfId="0" applyNumberFormat="1" applyFont="1" applyAlignment="1">
      <alignment horizontal="right" vertical="center" wrapText="1"/>
    </xf>
    <xf numFmtId="178" fontId="10" fillId="0" borderId="0" xfId="0" applyNumberFormat="1" applyFont="1"/>
    <xf numFmtId="0" fontId="10" fillId="0" borderId="0" xfId="0" applyFont="1" applyAlignment="1">
      <alignment horizontal="left" vertical="center" wrapText="1"/>
    </xf>
    <xf numFmtId="180" fontId="1" fillId="0" borderId="0" xfId="0" applyNumberFormat="1" applyFont="1" applyAlignment="1"/>
    <xf numFmtId="4" fontId="2" fillId="0" borderId="0" xfId="0" applyNumberFormat="1" applyFont="1" applyAlignment="1"/>
    <xf numFmtId="3" fontId="1" fillId="0" borderId="0" xfId="0" applyNumberFormat="1" applyFont="1" applyAlignme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58" fontId="10" fillId="0" borderId="2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3" xfId="0" applyFont="1" applyBorder="1" applyAlignment="1">
      <alignment horizontal="right" vertical="center" wrapText="1"/>
    </xf>
    <xf numFmtId="0" fontId="15" fillId="0" borderId="4" xfId="0" applyFont="1" applyBorder="1" applyAlignment="1">
      <alignment wrapText="1"/>
    </xf>
    <xf numFmtId="0" fontId="15" fillId="0" borderId="4" xfId="0" applyFont="1" applyBorder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name val="Calibri"/>
        <scheme val="none"/>
        <family val="2"/>
        <b val="0"/>
        <i val="0"/>
        <strike val="0"/>
        <u val="none"/>
        <sz val="14"/>
        <color theme="1"/>
      </font>
      <numFmt numFmtId="58" formatCode="m/d/yyyy"/>
      <alignment horizontal="right" vertical="center" wrapText="1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numFmt numFmtId="0" formatCode="General"/>
      <alignment horizontal="left" vertical="center" wrapText="1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vertical="center" wrapText="1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vertical="center" wrapText="1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vertical="center" wrapText="1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right" vertical="center" wrapText="1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right" vertical="center" wrapText="1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right" vertical="center" wrapText="1"/>
    </dxf>
    <dxf>
      <font>
        <name val="Calibri"/>
        <scheme val="none"/>
        <charset val="134"/>
        <family val="0"/>
        <b val="1"/>
        <i val="0"/>
        <strike val="0"/>
        <u val="none"/>
        <sz val="14"/>
        <color theme="1"/>
      </font>
      <numFmt numFmtId="0" formatCode="General"/>
      <alignment horizontal="left" vertical="center" wrapText="1"/>
    </dxf>
    <dxf>
      <font>
        <name val="Calibri"/>
        <scheme val="none"/>
        <charset val="134"/>
        <family val="0"/>
        <b val="0"/>
        <i val="0"/>
        <strike val="0"/>
        <u val="none"/>
        <sz val="14"/>
        <color theme="1"/>
      </font>
      <numFmt numFmtId="178" formatCode="[$-409]mmmm\ d\,\ yyyy;@"/>
    </dxf>
    <dxf>
      <font>
        <name val="Calibri"/>
        <scheme val="none"/>
        <charset val="134"/>
        <family val="0"/>
        <b val="0"/>
        <i val="0"/>
        <strike val="0"/>
        <u val="none"/>
        <sz val="14"/>
        <color theme="1"/>
      </font>
      <numFmt numFmtId="178" formatCode="[$-409]mmmm\ d\,\ yyyy;@"/>
    </dxf>
    <dxf>
      <font>
        <name val="Calibri"/>
        <scheme val="none"/>
        <charset val="134"/>
        <family val="0"/>
        <b val="0"/>
        <i val="0"/>
        <strike val="0"/>
        <u val="none"/>
        <sz val="14"/>
        <color theme="1"/>
      </font>
      <alignment vertical="center" wrapText="1"/>
    </dxf>
    <dxf>
      <font>
        <name val="Calibri"/>
        <scheme val="none"/>
        <charset val="134"/>
        <family val="0"/>
        <b val="0"/>
        <i val="0"/>
        <strike val="0"/>
        <u val="none"/>
        <sz val="14"/>
        <color theme="1"/>
      </font>
      <alignment vertical="center" wrapText="1"/>
    </dxf>
    <dxf>
      <font>
        <name val="Calibri"/>
        <scheme val="none"/>
        <charset val="134"/>
        <family val="0"/>
        <b val="0"/>
        <i val="0"/>
        <strike val="0"/>
        <u val="none"/>
        <sz val="14"/>
        <color theme="1"/>
      </font>
      <alignment vertical="center" wrapText="1"/>
    </dxf>
    <dxf>
      <font>
        <name val="Calibri"/>
        <scheme val="none"/>
        <charset val="134"/>
        <family val="0"/>
        <b val="1"/>
        <i val="0"/>
        <strike val="0"/>
        <u val="none"/>
        <sz val="14"/>
        <color theme="1"/>
      </font>
      <numFmt numFmtId="1" formatCode="0"/>
      <alignment horizontal="right" vertical="center" wrapText="1"/>
    </dxf>
    <dxf>
      <font>
        <name val="Calibri"/>
        <scheme val="none"/>
        <charset val="134"/>
        <family val="0"/>
        <b val="1"/>
        <i val="0"/>
        <strike val="0"/>
        <u val="none"/>
        <sz val="14"/>
        <color theme="1"/>
      </font>
      <numFmt numFmtId="2" formatCode="0.00"/>
      <alignment horizontal="right" vertical="center" wrapText="1"/>
    </dxf>
    <dxf>
      <fill>
        <patternFill patternType="solid">
          <bgColor theme="7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4.6089699074" refreshedBy="Hp" recordCount="44">
  <cacheSource type="worksheet">
    <worksheetSource name="Table1"/>
  </cacheSource>
  <cacheFields count="10">
    <cacheField name="OrderDate" numFmtId="0">
      <sharedItems containsSemiMixedTypes="0" containsString="0" containsNonDate="0" containsDate="1" minDate="2024-01-06T00:00:00" maxDate="2025-12-21T00:00:00" count="43">
        <d v="2024-01-06T00:00:00"/>
        <d v="2024-01-23T00:00:00"/>
        <d v="2024-02-09T00:00:00"/>
        <d v="2024-02-26T00:00:00"/>
        <d v="2024-03-15T00:00:00"/>
        <d v="2024-04-01T00:00:00"/>
        <d v="2024-04-18T00:00:00"/>
        <d v="2024-05-05T00:00:00"/>
        <d v="2024-05-22T00:00:00"/>
        <d v="2024-06-08T00:00:00"/>
        <d v="2024-06-25T00:00:00"/>
        <d v="2024-07-12T00:00:00"/>
        <d v="2024-07-29T00:00:00"/>
        <d v="2024-08-15T00:00:00"/>
        <d v="2024-09-01T00:00:00"/>
        <d v="2024-09-18T00:00:00"/>
        <d v="2024-10-05T00:00:00"/>
        <d v="2024-10-22T00:00:00"/>
        <d v="2024-11-08T00:00:00"/>
        <d v="2024-11-25T00:00:00"/>
        <d v="2024-12-12T00:00:00"/>
        <d v="2024-12-29T00:00:00"/>
        <d v="2025-01-15T00:00:00"/>
        <d v="2025-02-01T00:00:00"/>
        <d v="2025-02-18T00:00:00"/>
        <d v="2025-03-07T00:00:00"/>
        <d v="2025-03-24T00:00:00"/>
        <d v="2025-04-10T00:00:00"/>
        <d v="2025-04-27T00:00:00"/>
        <d v="2025-05-14T00:00:00"/>
        <d v="2025-05-31T00:00:00"/>
        <d v="2025-06-17T00:00:00"/>
        <d v="2025-07-04T00:00:00"/>
        <d v="2025-07-21T00:00:00"/>
        <d v="2025-08-07T00:00:00"/>
        <d v="2025-08-24T00:00:00"/>
        <d v="2025-09-10T00:00:00"/>
        <d v="2025-09-27T00:00:00"/>
        <d v="2025-10-14T00:00:00"/>
        <d v="2025-10-31T00:00:00"/>
        <d v="2025-11-17T00:00:00"/>
        <d v="2025-12-04T00:00:00"/>
        <d v="2025-12-21T00:00:00"/>
      </sharedItems>
    </cacheField>
    <cacheField name="Monthly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 u="1"/>
      </sharedItems>
    </cacheField>
    <cacheField name="Year" numFmtId="0">
      <sharedItems containsSemiMixedTypes="0" containsString="0" containsNumber="1" containsInteger="1" minValue="0" maxValue="2025" count="2">
        <n v="2024"/>
        <n v="2025"/>
      </sharedItems>
    </cacheField>
    <cacheField name="Region" numFmtId="0">
      <sharedItems containsBlank="1" count="4">
        <s v="East"/>
        <s v="Central"/>
        <s v="West"/>
        <m u="1"/>
      </sharedItems>
    </cacheField>
    <cacheField name="Rep" numFmtId="0">
      <sharedItems containsBlank="1" count="12">
        <s v="Jones"/>
        <s v="Kivell"/>
        <s v="Jardine"/>
        <s v="Gill"/>
        <s v="Sorvino"/>
        <s v="Andrews"/>
        <s v="Thompson"/>
        <s v="Morgan"/>
        <s v="Howard"/>
        <s v="Parent"/>
        <s v="Smith"/>
        <m u="1"/>
      </sharedItems>
    </cacheField>
    <cacheField name="Item" numFmtId="0">
      <sharedItems containsBlank="1" count="6">
        <s v="Pencil"/>
        <s v="Binder"/>
        <s v="Pen"/>
        <s v="Desk"/>
        <s v="Pen Set"/>
        <m u="1"/>
      </sharedItems>
    </cacheField>
    <cacheField name="Units" numFmtId="0">
      <sharedItems containsSemiMixedTypes="0" containsString="0" containsNumber="1" containsInteger="1" minValue="0" maxValue="96" count="37">
        <n v="95"/>
        <n v="50"/>
        <n v="36"/>
        <n v="27"/>
        <n v="56"/>
        <n v="60"/>
        <n v="75"/>
        <n v="90"/>
        <n v="32"/>
        <n v="29"/>
        <n v="81"/>
        <n v="35"/>
        <n v="2"/>
        <n v="16"/>
        <n v="28"/>
        <n v="64"/>
        <n v="15"/>
        <n v="96"/>
        <n v="67"/>
        <n v="74"/>
        <n v="46"/>
        <n v="87"/>
        <n v="4"/>
        <n v="7"/>
        <n v="66"/>
        <n v="53"/>
        <n v="80"/>
        <n v="5"/>
        <n v="62"/>
        <n v="55"/>
        <n v="42"/>
        <n v="3"/>
        <n v="76"/>
        <n v="57"/>
        <n v="14"/>
        <n v="11"/>
        <n v="94"/>
      </sharedItems>
    </cacheField>
    <cacheField name="Unit Cost" numFmtId="0">
      <sharedItems containsSemiMixedTypes="0" containsString="0" containsNumber="1" minValue="0" maxValue="275" count="12">
        <n v="1.99"/>
        <n v="19.99"/>
        <n v="4.99"/>
        <n v="2.99"/>
        <n v="8.99"/>
        <n v="125"/>
        <n v="15.99"/>
        <n v="1.29"/>
        <n v="15"/>
        <n v="12.49"/>
        <n v="23.95"/>
        <n v="275"/>
      </sharedItems>
    </cacheField>
    <cacheField name="Total (Ksh)" numFmtId="4">
      <sharedItems containsSemiMixedTypes="0" containsString="0" containsNumber="1" minValue="0" maxValue="1879.06" count="41">
        <n v="189.05"/>
        <n v="999.5"/>
        <n v="179.64"/>
        <n v="539.73"/>
        <n v="167.44"/>
        <n v="299.4"/>
        <n v="149.25"/>
        <n v="449.1"/>
        <n v="63.68"/>
        <n v="539.4"/>
        <n v="57.71"/>
        <n v="1619.19"/>
        <n v="174.65"/>
        <n v="250"/>
        <n v="255.84"/>
        <n v="251.72"/>
        <n v="575.36"/>
        <n v="299.85"/>
        <n v="479.04"/>
        <n v="86.43"/>
        <n v="1183.26"/>
        <n v="413.54"/>
        <n v="1305"/>
        <n v="19.96"/>
        <n v="139.93"/>
        <n v="249.5"/>
        <n v="131.34"/>
        <n v="68.37"/>
        <n v="719.2"/>
        <n v="625"/>
        <n v="309.38"/>
        <n v="686.95"/>
        <n v="1005.9"/>
        <n v="825"/>
        <n v="9.03"/>
        <n v="151.24"/>
        <n v="1139.43"/>
        <n v="18.06"/>
        <n v="54.89"/>
        <n v="1879.06"/>
        <n v="139.72"/>
      </sharedItems>
    </cacheField>
    <cacheField name="Order Cartegory" numFmtId="0">
      <sharedItems containsBlank="1" count="3">
        <s v="Normal Value"/>
        <s v="High Value"/>
        <m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  <x v="1"/>
  </r>
  <r>
    <x v="2"/>
    <x v="1"/>
    <x v="0"/>
    <x v="1"/>
    <x v="2"/>
    <x v="0"/>
    <x v="2"/>
    <x v="2"/>
    <x v="2"/>
    <x v="0"/>
  </r>
  <r>
    <x v="3"/>
    <x v="1"/>
    <x v="0"/>
    <x v="1"/>
    <x v="3"/>
    <x v="2"/>
    <x v="3"/>
    <x v="1"/>
    <x v="3"/>
    <x v="1"/>
  </r>
  <r>
    <x v="4"/>
    <x v="2"/>
    <x v="0"/>
    <x v="2"/>
    <x v="4"/>
    <x v="0"/>
    <x v="4"/>
    <x v="3"/>
    <x v="4"/>
    <x v="0"/>
  </r>
  <r>
    <x v="5"/>
    <x v="3"/>
    <x v="0"/>
    <x v="0"/>
    <x v="0"/>
    <x v="1"/>
    <x v="5"/>
    <x v="2"/>
    <x v="5"/>
    <x v="0"/>
  </r>
  <r>
    <x v="6"/>
    <x v="3"/>
    <x v="0"/>
    <x v="1"/>
    <x v="5"/>
    <x v="0"/>
    <x v="6"/>
    <x v="0"/>
    <x v="6"/>
    <x v="0"/>
  </r>
  <r>
    <x v="7"/>
    <x v="4"/>
    <x v="0"/>
    <x v="1"/>
    <x v="2"/>
    <x v="0"/>
    <x v="7"/>
    <x v="2"/>
    <x v="7"/>
    <x v="0"/>
  </r>
  <r>
    <x v="8"/>
    <x v="4"/>
    <x v="0"/>
    <x v="2"/>
    <x v="6"/>
    <x v="0"/>
    <x v="8"/>
    <x v="0"/>
    <x v="8"/>
    <x v="0"/>
  </r>
  <r>
    <x v="9"/>
    <x v="5"/>
    <x v="0"/>
    <x v="0"/>
    <x v="0"/>
    <x v="1"/>
    <x v="5"/>
    <x v="4"/>
    <x v="9"/>
    <x v="1"/>
  </r>
  <r>
    <x v="10"/>
    <x v="5"/>
    <x v="0"/>
    <x v="1"/>
    <x v="7"/>
    <x v="0"/>
    <x v="7"/>
    <x v="2"/>
    <x v="7"/>
    <x v="0"/>
  </r>
  <r>
    <x v="11"/>
    <x v="6"/>
    <x v="0"/>
    <x v="0"/>
    <x v="8"/>
    <x v="1"/>
    <x v="9"/>
    <x v="0"/>
    <x v="10"/>
    <x v="0"/>
  </r>
  <r>
    <x v="12"/>
    <x v="6"/>
    <x v="0"/>
    <x v="0"/>
    <x v="9"/>
    <x v="1"/>
    <x v="10"/>
    <x v="1"/>
    <x v="11"/>
    <x v="1"/>
  </r>
  <r>
    <x v="13"/>
    <x v="7"/>
    <x v="0"/>
    <x v="0"/>
    <x v="0"/>
    <x v="0"/>
    <x v="11"/>
    <x v="2"/>
    <x v="12"/>
    <x v="0"/>
  </r>
  <r>
    <x v="14"/>
    <x v="8"/>
    <x v="0"/>
    <x v="1"/>
    <x v="10"/>
    <x v="3"/>
    <x v="12"/>
    <x v="5"/>
    <x v="13"/>
    <x v="0"/>
  </r>
  <r>
    <x v="15"/>
    <x v="8"/>
    <x v="0"/>
    <x v="0"/>
    <x v="0"/>
    <x v="4"/>
    <x v="13"/>
    <x v="6"/>
    <x v="14"/>
    <x v="0"/>
  </r>
  <r>
    <x v="16"/>
    <x v="9"/>
    <x v="0"/>
    <x v="1"/>
    <x v="7"/>
    <x v="1"/>
    <x v="14"/>
    <x v="4"/>
    <x v="15"/>
    <x v="0"/>
  </r>
  <r>
    <x v="17"/>
    <x v="9"/>
    <x v="0"/>
    <x v="0"/>
    <x v="0"/>
    <x v="2"/>
    <x v="15"/>
    <x v="4"/>
    <x v="16"/>
    <x v="1"/>
  </r>
  <r>
    <x v="18"/>
    <x v="10"/>
    <x v="0"/>
    <x v="0"/>
    <x v="9"/>
    <x v="2"/>
    <x v="16"/>
    <x v="1"/>
    <x v="17"/>
    <x v="0"/>
  </r>
  <r>
    <x v="19"/>
    <x v="10"/>
    <x v="0"/>
    <x v="1"/>
    <x v="1"/>
    <x v="4"/>
    <x v="17"/>
    <x v="2"/>
    <x v="18"/>
    <x v="0"/>
  </r>
  <r>
    <x v="20"/>
    <x v="11"/>
    <x v="0"/>
    <x v="1"/>
    <x v="10"/>
    <x v="0"/>
    <x v="18"/>
    <x v="7"/>
    <x v="19"/>
    <x v="0"/>
  </r>
  <r>
    <x v="21"/>
    <x v="11"/>
    <x v="0"/>
    <x v="0"/>
    <x v="9"/>
    <x v="4"/>
    <x v="19"/>
    <x v="6"/>
    <x v="20"/>
    <x v="1"/>
  </r>
  <r>
    <x v="22"/>
    <x v="0"/>
    <x v="1"/>
    <x v="1"/>
    <x v="3"/>
    <x v="1"/>
    <x v="20"/>
    <x v="4"/>
    <x v="21"/>
    <x v="0"/>
  </r>
  <r>
    <x v="23"/>
    <x v="1"/>
    <x v="1"/>
    <x v="1"/>
    <x v="10"/>
    <x v="1"/>
    <x v="21"/>
    <x v="8"/>
    <x v="22"/>
    <x v="1"/>
  </r>
  <r>
    <x v="24"/>
    <x v="1"/>
    <x v="1"/>
    <x v="0"/>
    <x v="0"/>
    <x v="1"/>
    <x v="22"/>
    <x v="2"/>
    <x v="23"/>
    <x v="0"/>
  </r>
  <r>
    <x v="25"/>
    <x v="2"/>
    <x v="1"/>
    <x v="2"/>
    <x v="4"/>
    <x v="1"/>
    <x v="23"/>
    <x v="1"/>
    <x v="24"/>
    <x v="0"/>
  </r>
  <r>
    <x v="26"/>
    <x v="2"/>
    <x v="1"/>
    <x v="1"/>
    <x v="2"/>
    <x v="4"/>
    <x v="1"/>
    <x v="2"/>
    <x v="25"/>
    <x v="0"/>
  </r>
  <r>
    <x v="27"/>
    <x v="3"/>
    <x v="1"/>
    <x v="1"/>
    <x v="5"/>
    <x v="0"/>
    <x v="24"/>
    <x v="0"/>
    <x v="26"/>
    <x v="0"/>
  </r>
  <r>
    <x v="28"/>
    <x v="3"/>
    <x v="1"/>
    <x v="0"/>
    <x v="8"/>
    <x v="2"/>
    <x v="17"/>
    <x v="2"/>
    <x v="18"/>
    <x v="0"/>
  </r>
  <r>
    <x v="29"/>
    <x v="4"/>
    <x v="1"/>
    <x v="1"/>
    <x v="3"/>
    <x v="0"/>
    <x v="25"/>
    <x v="7"/>
    <x v="27"/>
    <x v="0"/>
  </r>
  <r>
    <x v="30"/>
    <x v="4"/>
    <x v="1"/>
    <x v="1"/>
    <x v="3"/>
    <x v="1"/>
    <x v="26"/>
    <x v="4"/>
    <x v="28"/>
    <x v="1"/>
  </r>
  <r>
    <x v="31"/>
    <x v="5"/>
    <x v="1"/>
    <x v="1"/>
    <x v="1"/>
    <x v="3"/>
    <x v="27"/>
    <x v="5"/>
    <x v="29"/>
    <x v="1"/>
  </r>
  <r>
    <x v="32"/>
    <x v="6"/>
    <x v="1"/>
    <x v="0"/>
    <x v="0"/>
    <x v="4"/>
    <x v="28"/>
    <x v="2"/>
    <x v="30"/>
    <x v="0"/>
  </r>
  <r>
    <x v="33"/>
    <x v="6"/>
    <x v="1"/>
    <x v="1"/>
    <x v="7"/>
    <x v="4"/>
    <x v="29"/>
    <x v="9"/>
    <x v="31"/>
    <x v="1"/>
  </r>
  <r>
    <x v="34"/>
    <x v="7"/>
    <x v="1"/>
    <x v="1"/>
    <x v="1"/>
    <x v="4"/>
    <x v="30"/>
    <x v="10"/>
    <x v="32"/>
    <x v="1"/>
  </r>
  <r>
    <x v="35"/>
    <x v="7"/>
    <x v="1"/>
    <x v="2"/>
    <x v="4"/>
    <x v="3"/>
    <x v="31"/>
    <x v="11"/>
    <x v="33"/>
    <x v="1"/>
  </r>
  <r>
    <x v="36"/>
    <x v="8"/>
    <x v="1"/>
    <x v="1"/>
    <x v="3"/>
    <x v="0"/>
    <x v="23"/>
    <x v="7"/>
    <x v="34"/>
    <x v="0"/>
  </r>
  <r>
    <x v="37"/>
    <x v="8"/>
    <x v="1"/>
    <x v="2"/>
    <x v="4"/>
    <x v="2"/>
    <x v="32"/>
    <x v="0"/>
    <x v="35"/>
    <x v="0"/>
  </r>
  <r>
    <x v="38"/>
    <x v="9"/>
    <x v="1"/>
    <x v="2"/>
    <x v="6"/>
    <x v="1"/>
    <x v="33"/>
    <x v="1"/>
    <x v="36"/>
    <x v="1"/>
  </r>
  <r>
    <x v="39"/>
    <x v="9"/>
    <x v="1"/>
    <x v="1"/>
    <x v="5"/>
    <x v="0"/>
    <x v="34"/>
    <x v="7"/>
    <x v="37"/>
    <x v="0"/>
  </r>
  <r>
    <x v="40"/>
    <x v="10"/>
    <x v="1"/>
    <x v="1"/>
    <x v="2"/>
    <x v="1"/>
    <x v="35"/>
    <x v="2"/>
    <x v="38"/>
    <x v="0"/>
  </r>
  <r>
    <x v="41"/>
    <x v="11"/>
    <x v="1"/>
    <x v="1"/>
    <x v="2"/>
    <x v="1"/>
    <x v="36"/>
    <x v="1"/>
    <x v="39"/>
    <x v="1"/>
  </r>
  <r>
    <x v="42"/>
    <x v="11"/>
    <x v="1"/>
    <x v="1"/>
    <x v="5"/>
    <x v="1"/>
    <x v="14"/>
    <x v="2"/>
    <x v="40"/>
    <x v="0"/>
  </r>
  <r>
    <x v="42"/>
    <x v="11"/>
    <x v="1"/>
    <x v="1"/>
    <x v="5"/>
    <x v="1"/>
    <x v="14"/>
    <x v="2"/>
    <x v="4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46:M50" firstHeaderRow="0" firstDataRow="1" firstDataCol="1"/>
  <pivotFields count="10"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descending" multipleItemSelectionAllowed="1" showAll="0">
      <items count="5">
        <item m="1" x="3"/>
        <item x="2"/>
        <item x="0"/>
        <item x="1"/>
        <item t="default"/>
      </items>
    </pivotField>
    <pivotField compact="0" showAll="0">
      <items count="13">
        <item x="5"/>
        <item x="3"/>
        <item x="8"/>
        <item x="2"/>
        <item x="0"/>
        <item x="1"/>
        <item x="7"/>
        <item x="9"/>
        <item x="10"/>
        <item x="4"/>
        <item x="6"/>
        <item m="1" x="11"/>
        <item t="default"/>
      </items>
    </pivotField>
    <pivotField compact="0" showAll="0">
      <items count="7">
        <item x="1"/>
        <item x="3"/>
        <item x="2"/>
        <item x="4"/>
        <item x="0"/>
        <item m="1" x="5"/>
        <item t="default"/>
      </items>
    </pivotField>
    <pivotField compact="0" showAll="0">
      <items count="38">
        <item x="12"/>
        <item x="31"/>
        <item x="22"/>
        <item x="27"/>
        <item x="23"/>
        <item x="35"/>
        <item x="34"/>
        <item x="16"/>
        <item x="13"/>
        <item x="3"/>
        <item x="14"/>
        <item x="9"/>
        <item x="8"/>
        <item x="11"/>
        <item x="2"/>
        <item x="30"/>
        <item x="20"/>
        <item x="1"/>
        <item x="25"/>
        <item x="29"/>
        <item x="4"/>
        <item x="33"/>
        <item x="5"/>
        <item x="28"/>
        <item x="15"/>
        <item x="24"/>
        <item x="18"/>
        <item x="19"/>
        <item x="6"/>
        <item x="32"/>
        <item x="26"/>
        <item x="10"/>
        <item x="21"/>
        <item x="7"/>
        <item x="36"/>
        <item x="0"/>
        <item x="17"/>
        <item t="default"/>
      </items>
    </pivotField>
    <pivotField compact="0" showAll="0">
      <items count="13">
        <item x="7"/>
        <item x="0"/>
        <item x="3"/>
        <item x="2"/>
        <item x="4"/>
        <item x="9"/>
        <item x="8"/>
        <item x="6"/>
        <item x="1"/>
        <item x="10"/>
        <item x="5"/>
        <item x="11"/>
        <item t="default"/>
      </items>
    </pivotField>
    <pivotField dataField="1" compact="0" numFmtId="4" showAll="0">
      <items count="42">
        <item x="34"/>
        <item x="37"/>
        <item x="23"/>
        <item x="38"/>
        <item x="10"/>
        <item x="8"/>
        <item x="27"/>
        <item x="19"/>
        <item x="26"/>
        <item x="40"/>
        <item x="24"/>
        <item x="6"/>
        <item x="35"/>
        <item x="4"/>
        <item x="12"/>
        <item x="2"/>
        <item x="0"/>
        <item x="25"/>
        <item x="13"/>
        <item x="15"/>
        <item x="14"/>
        <item x="5"/>
        <item x="17"/>
        <item x="30"/>
        <item x="21"/>
        <item x="7"/>
        <item x="18"/>
        <item x="9"/>
        <item x="3"/>
        <item x="16"/>
        <item x="29"/>
        <item x="31"/>
        <item x="28"/>
        <item x="33"/>
        <item x="1"/>
        <item x="32"/>
        <item x="36"/>
        <item x="20"/>
        <item x="22"/>
        <item x="11"/>
        <item x="39"/>
        <item t="default"/>
      </items>
    </pivotField>
    <pivotField compact="0" showAll="0">
      <items count="4">
        <item x="1"/>
        <item x="0"/>
        <item m="1" x="2"/>
        <item t="default"/>
      </items>
    </pivotField>
  </pivotFields>
  <rowFields count="1">
    <field x="3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(Ksh)2" fld="8" showDataAs="percentOfTotal" baseField="0" baseItem="0" numFmtId="10"/>
    <dataField name="Sum of Total (Ksh)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18:L24" firstHeaderRow="1" firstDataRow="1" firstDataCol="1"/>
  <pivotFields count="10"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1"/>
        <item x="0"/>
        <item x="2"/>
        <item m="1" x="3"/>
        <item t="default"/>
      </items>
    </pivotField>
    <pivotField compact="0" showAll="0">
      <items count="13">
        <item x="5"/>
        <item x="3"/>
        <item x="8"/>
        <item x="2"/>
        <item x="0"/>
        <item x="1"/>
        <item x="7"/>
        <item x="9"/>
        <item x="10"/>
        <item x="4"/>
        <item x="6"/>
        <item m="1" x="11"/>
        <item t="default"/>
      </items>
    </pivotField>
    <pivotField axis="axisRow" compact="0" multipleItemSelectionAllowed="1" showAll="0">
      <items count="7">
        <item x="1"/>
        <item x="3"/>
        <item x="2"/>
        <item x="4"/>
        <item x="0"/>
        <item h="1" m="1" x="5"/>
        <item t="default"/>
      </items>
    </pivotField>
    <pivotField compact="0" showAll="0">
      <items count="38">
        <item x="12"/>
        <item x="31"/>
        <item x="22"/>
        <item x="27"/>
        <item x="23"/>
        <item x="35"/>
        <item x="34"/>
        <item x="16"/>
        <item x="13"/>
        <item x="3"/>
        <item x="14"/>
        <item x="9"/>
        <item x="8"/>
        <item x="11"/>
        <item x="2"/>
        <item x="30"/>
        <item x="20"/>
        <item x="1"/>
        <item x="25"/>
        <item x="29"/>
        <item x="4"/>
        <item x="33"/>
        <item x="5"/>
        <item x="28"/>
        <item x="15"/>
        <item x="24"/>
        <item x="18"/>
        <item x="19"/>
        <item x="6"/>
        <item x="32"/>
        <item x="26"/>
        <item x="10"/>
        <item x="21"/>
        <item x="7"/>
        <item x="36"/>
        <item x="0"/>
        <item x="17"/>
        <item t="default"/>
      </items>
    </pivotField>
    <pivotField compact="0" showAll="0">
      <items count="13">
        <item x="7"/>
        <item x="0"/>
        <item x="3"/>
        <item x="2"/>
        <item x="4"/>
        <item x="9"/>
        <item x="8"/>
        <item x="6"/>
        <item x="1"/>
        <item x="10"/>
        <item x="5"/>
        <item x="11"/>
        <item t="default"/>
      </items>
    </pivotField>
    <pivotField dataField="1" compact="0" numFmtId="4" showAll="0">
      <items count="42">
        <item x="34"/>
        <item x="37"/>
        <item x="23"/>
        <item x="38"/>
        <item x="10"/>
        <item x="8"/>
        <item x="27"/>
        <item x="19"/>
        <item x="26"/>
        <item x="40"/>
        <item x="24"/>
        <item x="6"/>
        <item x="35"/>
        <item x="4"/>
        <item x="12"/>
        <item x="2"/>
        <item x="0"/>
        <item x="25"/>
        <item x="13"/>
        <item x="15"/>
        <item x="14"/>
        <item x="5"/>
        <item x="17"/>
        <item x="30"/>
        <item x="21"/>
        <item x="7"/>
        <item x="18"/>
        <item x="9"/>
        <item x="3"/>
        <item x="16"/>
        <item x="29"/>
        <item x="31"/>
        <item x="28"/>
        <item x="33"/>
        <item x="1"/>
        <item x="32"/>
        <item x="36"/>
        <item x="20"/>
        <item x="22"/>
        <item x="11"/>
        <item x="39"/>
        <item t="default"/>
      </items>
    </pivotField>
    <pivotField compact="0" showAll="0">
      <items count="4">
        <item x="1"/>
        <item x="0"/>
        <item m="1" x="2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(Ksh)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2:L15" firstHeaderRow="1" firstDataRow="1" firstDataCol="1"/>
  <pivotFields count="10"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axis="axisRow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4" showAll="0">
      <items count="42">
        <item x="34"/>
        <item x="37"/>
        <item x="23"/>
        <item x="38"/>
        <item x="10"/>
        <item x="8"/>
        <item x="27"/>
        <item x="19"/>
        <item x="26"/>
        <item x="40"/>
        <item x="24"/>
        <item x="6"/>
        <item x="35"/>
        <item x="4"/>
        <item x="12"/>
        <item x="2"/>
        <item x="0"/>
        <item x="25"/>
        <item x="13"/>
        <item x="15"/>
        <item x="14"/>
        <item x="5"/>
        <item x="17"/>
        <item x="30"/>
        <item x="21"/>
        <item x="7"/>
        <item x="18"/>
        <item x="9"/>
        <item x="3"/>
        <item x="16"/>
        <item x="29"/>
        <item x="31"/>
        <item x="28"/>
        <item x="33"/>
        <item x="1"/>
        <item x="32"/>
        <item x="36"/>
        <item x="20"/>
        <item x="22"/>
        <item x="11"/>
        <item x="39"/>
        <item t="default"/>
      </items>
    </pivotField>
    <pivotField compact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(Ksh)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31:L43" firstHeaderRow="1" firstDataRow="1" firstDataCol="1"/>
  <pivotFields count="10"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1"/>
        <item x="0"/>
        <item x="2"/>
        <item m="1" x="3"/>
        <item t="default"/>
      </items>
    </pivotField>
    <pivotField axis="axisRow" compact="0" sortType="descending" showAll="0">
      <items count="13">
        <item m="1" x="11"/>
        <item x="6"/>
        <item x="4"/>
        <item x="10"/>
        <item x="9"/>
        <item x="7"/>
        <item x="1"/>
        <item x="0"/>
        <item x="2"/>
        <item x="8"/>
        <item x="3"/>
        <item x="5"/>
        <item t="default"/>
      </items>
    </pivotField>
    <pivotField compact="0" showAll="0">
      <items count="7">
        <item x="1"/>
        <item x="3"/>
        <item x="2"/>
        <item x="4"/>
        <item x="0"/>
        <item m="1" x="5"/>
        <item t="default"/>
      </items>
    </pivotField>
    <pivotField compact="0" showAll="0">
      <items count="38">
        <item x="12"/>
        <item x="31"/>
        <item x="22"/>
        <item x="27"/>
        <item x="23"/>
        <item x="35"/>
        <item x="34"/>
        <item x="16"/>
        <item x="13"/>
        <item x="3"/>
        <item x="14"/>
        <item x="9"/>
        <item x="8"/>
        <item x="11"/>
        <item x="2"/>
        <item x="30"/>
        <item x="20"/>
        <item x="1"/>
        <item x="25"/>
        <item x="29"/>
        <item x="4"/>
        <item x="33"/>
        <item x="5"/>
        <item x="28"/>
        <item x="15"/>
        <item x="24"/>
        <item x="18"/>
        <item x="19"/>
        <item x="6"/>
        <item x="32"/>
        <item x="26"/>
        <item x="10"/>
        <item x="21"/>
        <item x="7"/>
        <item x="36"/>
        <item x="0"/>
        <item x="17"/>
        <item t="default"/>
      </items>
    </pivotField>
    <pivotField compact="0" showAll="0">
      <items count="13">
        <item x="7"/>
        <item x="0"/>
        <item x="3"/>
        <item x="2"/>
        <item x="4"/>
        <item x="9"/>
        <item x="8"/>
        <item x="6"/>
        <item x="1"/>
        <item x="10"/>
        <item x="5"/>
        <item x="11"/>
        <item t="default"/>
      </items>
    </pivotField>
    <pivotField dataField="1" compact="0" numFmtId="4" showAll="0">
      <items count="42">
        <item x="34"/>
        <item x="37"/>
        <item x="23"/>
        <item x="38"/>
        <item x="10"/>
        <item x="8"/>
        <item x="27"/>
        <item x="19"/>
        <item x="26"/>
        <item x="40"/>
        <item x="24"/>
        <item x="6"/>
        <item x="35"/>
        <item x="4"/>
        <item x="12"/>
        <item x="2"/>
        <item x="0"/>
        <item x="25"/>
        <item x="13"/>
        <item x="15"/>
        <item x="14"/>
        <item x="5"/>
        <item x="17"/>
        <item x="30"/>
        <item x="21"/>
        <item x="7"/>
        <item x="18"/>
        <item x="9"/>
        <item x="3"/>
        <item x="16"/>
        <item x="29"/>
        <item x="31"/>
        <item x="28"/>
        <item x="33"/>
        <item x="1"/>
        <item x="32"/>
        <item x="36"/>
        <item x="20"/>
        <item x="22"/>
        <item x="11"/>
        <item x="39"/>
        <item t="default"/>
      </items>
    </pivotField>
    <pivotField compact="0" showAll="0">
      <items count="4">
        <item x="1"/>
        <item x="0"/>
        <item m="1" x="2"/>
        <item t="default"/>
      </items>
    </pivotField>
  </pivotFields>
  <rowFields count="1">
    <field x="4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(Ksh)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45" totalsRowShown="0">
  <autoFilter xmlns:etc="http://www.wps.cn/officeDocument/2017/etCustomData" ref="A1:J45" etc:filterBottomFollowUsedRange="0">
    <filterColumn colId="0">
      <customFilters>
        <customFilter operator="notEqual" val=""/>
      </customFilters>
    </filterColumn>
  </autoFilter>
  <tableColumns count="10">
    <tableColumn id="1" name="OrderDate" dataDxfId="0"/>
    <tableColumn id="8" name="Monthly" dataDxfId="1">
      <calculatedColumnFormula>TEXT(Table1[[#This Row],[OrderDate]],"mmmm")</calculatedColumnFormula>
    </tableColumn>
    <tableColumn id="9" name="Year">
      <calculatedColumnFormula>YEAR(A2)</calculatedColumnFormula>
    </tableColumn>
    <tableColumn id="2" name="Region" dataDxfId="2"/>
    <tableColumn id="3" name="Rep" dataDxfId="3"/>
    <tableColumn id="4" name="Item" dataDxfId="4"/>
    <tableColumn id="5" name="Units" dataDxfId="5"/>
    <tableColumn id="6" name="Unit Cost" dataDxfId="6"/>
    <tableColumn id="7" name="Total (Ksh)" dataDxfId="7">
      <calculatedColumnFormula>PRODUCT(Table1[[#This Row],[Units]],Table1[[#This Row],[Unit Cost]])</calculatedColumnFormula>
    </tableColumn>
    <tableColumn id="10" name="Order Cartegory">
      <calculatedColumnFormula>IF(I2&gt;=500,"High Value","Normal Value")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46:I54" totalsRowShown="0">
  <autoFilter xmlns:etc="http://www.wps.cn/officeDocument/2017/etCustomData" ref="A46:I54" etc:filterBottomFollowUsedRange="0"/>
  <tableColumns count="9">
    <tableColumn id="1" name="Column1" dataDxfId="8"/>
    <tableColumn id="2" name="Column2" dataDxfId="9"/>
    <tableColumn id="3" name="Column3" dataDxfId="10"/>
    <tableColumn id="4" name="Column4" dataDxfId="11"/>
    <tableColumn id="5" name="Column5" dataDxfId="12"/>
    <tableColumn id="6" name="Column6" dataDxfId="13"/>
    <tableColumn id="7" name="Column7" dataDxfId="14">
      <calculatedColumnFormula>SUM(G1:G44)</calculatedColumnFormula>
    </tableColumn>
    <tableColumn id="8" name="Column8" dataDxfId="15"/>
    <tableColumn id="9" name="Column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45"/>
  <sheetViews>
    <sheetView topLeftCell="A9" workbookViewId="0">
      <selection activeCell="J19" sqref="J19"/>
    </sheetView>
  </sheetViews>
  <sheetFormatPr defaultColWidth="9" defaultRowHeight="14.5"/>
  <cols>
    <col min="1" max="1" width="13.2727272727273" customWidth="1"/>
    <col min="9" max="9" width="9.54545454545454"/>
  </cols>
  <sheetData>
    <row r="1" ht="37.75" spans="1:7">
      <c r="A1" s="52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</row>
    <row r="2" ht="19.25" spans="1:7">
      <c r="A2" s="54">
        <v>45297</v>
      </c>
      <c r="B2" s="55" t="s">
        <v>7</v>
      </c>
      <c r="C2" s="55" t="s">
        <v>8</v>
      </c>
      <c r="D2" s="55" t="s">
        <v>9</v>
      </c>
      <c r="E2" s="56">
        <v>95</v>
      </c>
      <c r="F2" s="56">
        <v>1.99</v>
      </c>
      <c r="G2" s="57">
        <v>189.05</v>
      </c>
    </row>
    <row r="3" ht="19.25" spans="1:7">
      <c r="A3" s="54">
        <v>45314</v>
      </c>
      <c r="B3" s="55" t="s">
        <v>10</v>
      </c>
      <c r="C3" s="55" t="s">
        <v>11</v>
      </c>
      <c r="D3" s="55" t="s">
        <v>12</v>
      </c>
      <c r="E3" s="56">
        <v>50</v>
      </c>
      <c r="F3" s="56">
        <v>19.99</v>
      </c>
      <c r="G3" s="57">
        <v>999.5</v>
      </c>
    </row>
    <row r="4" ht="19.25" spans="1:7">
      <c r="A4" s="54">
        <v>45331</v>
      </c>
      <c r="B4" s="55" t="s">
        <v>10</v>
      </c>
      <c r="C4" s="55" t="s">
        <v>13</v>
      </c>
      <c r="D4" s="55" t="s">
        <v>9</v>
      </c>
      <c r="E4" s="56">
        <v>36</v>
      </c>
      <c r="F4" s="56">
        <v>4.99</v>
      </c>
      <c r="G4" s="57">
        <v>179.64</v>
      </c>
    </row>
    <row r="5" ht="19.25" spans="1:7">
      <c r="A5" s="54">
        <v>45348</v>
      </c>
      <c r="B5" s="55" t="s">
        <v>10</v>
      </c>
      <c r="C5" s="55" t="s">
        <v>14</v>
      </c>
      <c r="D5" s="55" t="s">
        <v>15</v>
      </c>
      <c r="E5" s="56">
        <v>27</v>
      </c>
      <c r="F5" s="56">
        <v>19.99</v>
      </c>
      <c r="G5" s="57">
        <v>539.73</v>
      </c>
    </row>
    <row r="6" ht="19.25" spans="1:7">
      <c r="A6" s="54">
        <v>45366</v>
      </c>
      <c r="B6" s="55" t="s">
        <v>16</v>
      </c>
      <c r="C6" s="55" t="s">
        <v>17</v>
      </c>
      <c r="D6" s="55" t="s">
        <v>9</v>
      </c>
      <c r="E6" s="56">
        <v>56</v>
      </c>
      <c r="F6" s="56">
        <v>2.99</v>
      </c>
      <c r="G6" s="57">
        <v>167.44</v>
      </c>
    </row>
    <row r="7" ht="19.25" spans="1:7">
      <c r="A7" s="54">
        <v>45383</v>
      </c>
      <c r="B7" s="55" t="s">
        <v>7</v>
      </c>
      <c r="C7" s="55" t="s">
        <v>8</v>
      </c>
      <c r="D7" s="55" t="s">
        <v>12</v>
      </c>
      <c r="E7" s="56">
        <v>60</v>
      </c>
      <c r="F7" s="56">
        <v>4.99</v>
      </c>
      <c r="G7" s="57">
        <v>299.4</v>
      </c>
    </row>
    <row r="8" ht="37.75" spans="1:7">
      <c r="A8" s="54">
        <v>45400</v>
      </c>
      <c r="B8" s="55" t="s">
        <v>10</v>
      </c>
      <c r="C8" s="55" t="s">
        <v>18</v>
      </c>
      <c r="D8" s="55" t="s">
        <v>9</v>
      </c>
      <c r="E8" s="56">
        <v>75</v>
      </c>
      <c r="F8" s="56">
        <v>1.99</v>
      </c>
      <c r="G8" s="57">
        <v>149.25</v>
      </c>
    </row>
    <row r="9" ht="19.25" spans="1:7">
      <c r="A9" s="54">
        <v>45417</v>
      </c>
      <c r="B9" s="55" t="s">
        <v>10</v>
      </c>
      <c r="C9" s="55" t="s">
        <v>13</v>
      </c>
      <c r="D9" s="55" t="s">
        <v>9</v>
      </c>
      <c r="E9" s="56">
        <v>90</v>
      </c>
      <c r="F9" s="56">
        <v>4.99</v>
      </c>
      <c r="G9" s="57">
        <v>449.1</v>
      </c>
    </row>
    <row r="10" ht="37.75" spans="1:7">
      <c r="A10" s="54">
        <v>45434</v>
      </c>
      <c r="B10" s="55" t="s">
        <v>16</v>
      </c>
      <c r="C10" s="55" t="s">
        <v>19</v>
      </c>
      <c r="D10" s="55" t="s">
        <v>9</v>
      </c>
      <c r="E10" s="56">
        <v>32</v>
      </c>
      <c r="F10" s="56">
        <v>1.99</v>
      </c>
      <c r="G10" s="57">
        <v>63.68</v>
      </c>
    </row>
    <row r="11" ht="19.25" spans="1:7">
      <c r="A11" s="54">
        <v>45451</v>
      </c>
      <c r="B11" s="55" t="s">
        <v>7</v>
      </c>
      <c r="C11" s="55" t="s">
        <v>8</v>
      </c>
      <c r="D11" s="55" t="s">
        <v>12</v>
      </c>
      <c r="E11" s="56">
        <v>60</v>
      </c>
      <c r="F11" s="56">
        <v>8.99</v>
      </c>
      <c r="G11" s="57">
        <v>539.4</v>
      </c>
    </row>
    <row r="12" ht="19.25" spans="1:7">
      <c r="A12" s="54">
        <v>45468</v>
      </c>
      <c r="B12" s="55" t="s">
        <v>10</v>
      </c>
      <c r="C12" s="55" t="s">
        <v>20</v>
      </c>
      <c r="D12" s="55" t="s">
        <v>9</v>
      </c>
      <c r="E12" s="56">
        <v>90</v>
      </c>
      <c r="F12" s="56">
        <v>4.99</v>
      </c>
      <c r="G12" s="57">
        <v>449.1</v>
      </c>
    </row>
    <row r="13" ht="19.25" spans="1:7">
      <c r="A13" s="54">
        <v>45485</v>
      </c>
      <c r="B13" s="55" t="s">
        <v>7</v>
      </c>
      <c r="C13" s="55" t="s">
        <v>21</v>
      </c>
      <c r="D13" s="55" t="s">
        <v>12</v>
      </c>
      <c r="E13" s="56">
        <v>29</v>
      </c>
      <c r="F13" s="56">
        <v>1.99</v>
      </c>
      <c r="G13" s="57">
        <v>57.71</v>
      </c>
    </row>
    <row r="14" ht="19.25" spans="1:7">
      <c r="A14" s="54">
        <v>45502</v>
      </c>
      <c r="B14" s="55" t="s">
        <v>7</v>
      </c>
      <c r="C14" s="55" t="s">
        <v>22</v>
      </c>
      <c r="D14" s="55" t="s">
        <v>12</v>
      </c>
      <c r="E14" s="56">
        <v>81</v>
      </c>
      <c r="F14" s="56">
        <v>19.99</v>
      </c>
      <c r="G14" s="57">
        <v>1619.19</v>
      </c>
    </row>
    <row r="15" ht="19.25" spans="1:7">
      <c r="A15" s="54">
        <v>45519</v>
      </c>
      <c r="B15" s="55" t="s">
        <v>7</v>
      </c>
      <c r="C15" s="55" t="s">
        <v>8</v>
      </c>
      <c r="D15" s="55" t="s">
        <v>9</v>
      </c>
      <c r="E15" s="56">
        <v>35</v>
      </c>
      <c r="F15" s="56">
        <v>4.99</v>
      </c>
      <c r="G15" s="57">
        <v>174.65</v>
      </c>
    </row>
    <row r="16" ht="19.25" spans="1:7">
      <c r="A16" s="54">
        <v>45536</v>
      </c>
      <c r="B16" s="55" t="s">
        <v>10</v>
      </c>
      <c r="C16" s="55" t="s">
        <v>23</v>
      </c>
      <c r="D16" s="55" t="s">
        <v>24</v>
      </c>
      <c r="E16" s="56">
        <v>2</v>
      </c>
      <c r="F16" s="56">
        <v>125</v>
      </c>
      <c r="G16" s="57">
        <v>250</v>
      </c>
    </row>
    <row r="17" ht="19.25" spans="1:7">
      <c r="A17" s="54">
        <v>45553</v>
      </c>
      <c r="B17" s="55" t="s">
        <v>7</v>
      </c>
      <c r="C17" s="55" t="s">
        <v>8</v>
      </c>
      <c r="D17" s="55" t="s">
        <v>25</v>
      </c>
      <c r="E17" s="56">
        <v>16</v>
      </c>
      <c r="F17" s="56">
        <v>15.99</v>
      </c>
      <c r="G17" s="57">
        <v>255.84</v>
      </c>
    </row>
    <row r="18" ht="19.25" spans="1:7">
      <c r="A18" s="54">
        <v>45570</v>
      </c>
      <c r="B18" s="55" t="s">
        <v>10</v>
      </c>
      <c r="C18" s="55" t="s">
        <v>20</v>
      </c>
      <c r="D18" s="55" t="s">
        <v>12</v>
      </c>
      <c r="E18" s="56">
        <v>28</v>
      </c>
      <c r="F18" s="56">
        <v>8.99</v>
      </c>
      <c r="G18" s="57">
        <v>251.72</v>
      </c>
    </row>
    <row r="19" ht="19.25" spans="1:7">
      <c r="A19" s="54">
        <v>45587</v>
      </c>
      <c r="B19" s="55" t="s">
        <v>7</v>
      </c>
      <c r="C19" s="55" t="s">
        <v>8</v>
      </c>
      <c r="D19" s="55" t="s">
        <v>15</v>
      </c>
      <c r="E19" s="56">
        <v>64</v>
      </c>
      <c r="F19" s="56">
        <v>8.99</v>
      </c>
      <c r="G19" s="57">
        <v>575.36</v>
      </c>
    </row>
    <row r="20" ht="19.25" spans="1:7">
      <c r="A20" s="54">
        <v>45604</v>
      </c>
      <c r="B20" s="55" t="s">
        <v>7</v>
      </c>
      <c r="C20" s="55" t="s">
        <v>22</v>
      </c>
      <c r="D20" s="55" t="s">
        <v>15</v>
      </c>
      <c r="E20" s="56">
        <v>15</v>
      </c>
      <c r="F20" s="56">
        <v>19.99</v>
      </c>
      <c r="G20" s="57">
        <v>299.85</v>
      </c>
    </row>
    <row r="21" ht="19.25" spans="1:7">
      <c r="A21" s="54">
        <v>45621</v>
      </c>
      <c r="B21" s="55" t="s">
        <v>10</v>
      </c>
      <c r="C21" s="55" t="s">
        <v>11</v>
      </c>
      <c r="D21" s="55" t="s">
        <v>25</v>
      </c>
      <c r="E21" s="56">
        <v>96</v>
      </c>
      <c r="F21" s="56">
        <v>4.99</v>
      </c>
      <c r="G21" s="57">
        <v>479.04</v>
      </c>
    </row>
    <row r="22" ht="19.25" spans="1:7">
      <c r="A22" s="54">
        <v>45638</v>
      </c>
      <c r="B22" s="55" t="s">
        <v>10</v>
      </c>
      <c r="C22" s="55" t="s">
        <v>23</v>
      </c>
      <c r="D22" s="55" t="s">
        <v>9</v>
      </c>
      <c r="E22" s="56">
        <v>67</v>
      </c>
      <c r="F22" s="56">
        <v>1.29</v>
      </c>
      <c r="G22" s="57">
        <v>86.43</v>
      </c>
    </row>
    <row r="23" ht="19.25" spans="1:7">
      <c r="A23" s="54">
        <v>45655</v>
      </c>
      <c r="B23" s="55" t="s">
        <v>7</v>
      </c>
      <c r="C23" s="55" t="s">
        <v>22</v>
      </c>
      <c r="D23" s="55" t="s">
        <v>25</v>
      </c>
      <c r="E23" s="56">
        <v>74</v>
      </c>
      <c r="F23" s="56">
        <v>15.99</v>
      </c>
      <c r="G23" s="57">
        <v>1183.26</v>
      </c>
    </row>
    <row r="24" ht="19.25" spans="1:7">
      <c r="A24" s="54">
        <v>45672</v>
      </c>
      <c r="B24" s="55" t="s">
        <v>10</v>
      </c>
      <c r="C24" s="55" t="s">
        <v>14</v>
      </c>
      <c r="D24" s="55" t="s">
        <v>12</v>
      </c>
      <c r="E24" s="56">
        <v>46</v>
      </c>
      <c r="F24" s="56">
        <v>8.99</v>
      </c>
      <c r="G24" s="57">
        <v>413.54</v>
      </c>
    </row>
    <row r="25" ht="19.25" spans="1:7">
      <c r="A25" s="54">
        <v>45689</v>
      </c>
      <c r="B25" s="55" t="s">
        <v>10</v>
      </c>
      <c r="C25" s="55" t="s">
        <v>23</v>
      </c>
      <c r="D25" s="55" t="s">
        <v>12</v>
      </c>
      <c r="E25" s="56">
        <v>87</v>
      </c>
      <c r="F25" s="56">
        <v>15</v>
      </c>
      <c r="G25" s="57">
        <v>1305</v>
      </c>
    </row>
    <row r="26" ht="19.25" spans="1:7">
      <c r="A26" s="54">
        <v>45706</v>
      </c>
      <c r="B26" s="55" t="s">
        <v>7</v>
      </c>
      <c r="C26" s="55" t="s">
        <v>8</v>
      </c>
      <c r="D26" s="55" t="s">
        <v>12</v>
      </c>
      <c r="E26" s="56">
        <v>4</v>
      </c>
      <c r="F26" s="56">
        <v>4.99</v>
      </c>
      <c r="G26" s="57">
        <v>19.96</v>
      </c>
    </row>
    <row r="27" ht="19.25" spans="1:7">
      <c r="A27" s="54">
        <v>45723</v>
      </c>
      <c r="B27" s="55" t="s">
        <v>16</v>
      </c>
      <c r="C27" s="55" t="s">
        <v>17</v>
      </c>
      <c r="D27" s="55" t="s">
        <v>12</v>
      </c>
      <c r="E27" s="56">
        <v>7</v>
      </c>
      <c r="F27" s="56">
        <v>19.99</v>
      </c>
      <c r="G27" s="57">
        <v>139.93</v>
      </c>
    </row>
    <row r="28" ht="19.25" spans="1:7">
      <c r="A28" s="54">
        <v>45740</v>
      </c>
      <c r="B28" s="55" t="s">
        <v>10</v>
      </c>
      <c r="C28" s="55" t="s">
        <v>13</v>
      </c>
      <c r="D28" s="55" t="s">
        <v>25</v>
      </c>
      <c r="E28" s="56">
        <v>50</v>
      </c>
      <c r="F28" s="56">
        <v>4.99</v>
      </c>
      <c r="G28" s="57">
        <v>249.5</v>
      </c>
    </row>
    <row r="29" ht="37.75" spans="1:7">
      <c r="A29" s="54">
        <v>45757</v>
      </c>
      <c r="B29" s="55" t="s">
        <v>10</v>
      </c>
      <c r="C29" s="55" t="s">
        <v>18</v>
      </c>
      <c r="D29" s="55" t="s">
        <v>9</v>
      </c>
      <c r="E29" s="56">
        <v>66</v>
      </c>
      <c r="F29" s="56">
        <v>1.99</v>
      </c>
      <c r="G29" s="57">
        <v>131.34</v>
      </c>
    </row>
    <row r="30" ht="19.25" spans="1:7">
      <c r="A30" s="54">
        <v>45774</v>
      </c>
      <c r="B30" s="55" t="s">
        <v>7</v>
      </c>
      <c r="C30" s="55" t="s">
        <v>21</v>
      </c>
      <c r="D30" s="55" t="s">
        <v>15</v>
      </c>
      <c r="E30" s="56">
        <v>96</v>
      </c>
      <c r="F30" s="56">
        <v>4.99</v>
      </c>
      <c r="G30" s="57">
        <v>479.04</v>
      </c>
    </row>
    <row r="31" ht="19.25" spans="1:7">
      <c r="A31" s="54">
        <v>45791</v>
      </c>
      <c r="B31" s="55" t="s">
        <v>10</v>
      </c>
      <c r="C31" s="55" t="s">
        <v>14</v>
      </c>
      <c r="D31" s="55" t="s">
        <v>9</v>
      </c>
      <c r="E31" s="56">
        <v>53</v>
      </c>
      <c r="F31" s="56">
        <v>1.29</v>
      </c>
      <c r="G31" s="57">
        <v>68.37</v>
      </c>
    </row>
    <row r="32" ht="19.25" spans="1:7">
      <c r="A32" s="54">
        <v>45808</v>
      </c>
      <c r="B32" s="55" t="s">
        <v>10</v>
      </c>
      <c r="C32" s="55" t="s">
        <v>14</v>
      </c>
      <c r="D32" s="55" t="s">
        <v>12</v>
      </c>
      <c r="E32" s="56">
        <v>80</v>
      </c>
      <c r="F32" s="56">
        <v>8.99</v>
      </c>
      <c r="G32" s="57">
        <v>719.2</v>
      </c>
    </row>
    <row r="33" ht="19.25" spans="1:9">
      <c r="A33" s="54">
        <v>45825</v>
      </c>
      <c r="B33" s="55" t="s">
        <v>10</v>
      </c>
      <c r="C33" s="55" t="s">
        <v>11</v>
      </c>
      <c r="D33" s="55" t="s">
        <v>24</v>
      </c>
      <c r="E33" s="56">
        <v>5</v>
      </c>
      <c r="F33" s="56">
        <v>125</v>
      </c>
      <c r="G33" s="57">
        <v>625</v>
      </c>
    </row>
    <row r="34" ht="19.25" spans="1:9">
      <c r="A34" s="54">
        <v>45842</v>
      </c>
      <c r="B34" s="55" t="s">
        <v>7</v>
      </c>
      <c r="C34" s="55" t="s">
        <v>8</v>
      </c>
      <c r="D34" s="55" t="s">
        <v>25</v>
      </c>
      <c r="E34" s="56">
        <v>62</v>
      </c>
      <c r="F34" s="56">
        <v>4.99</v>
      </c>
      <c r="G34" s="57">
        <v>309.38</v>
      </c>
    </row>
    <row r="35" ht="19.25" spans="1:9">
      <c r="A35" s="54">
        <v>45859</v>
      </c>
      <c r="B35" s="55" t="s">
        <v>10</v>
      </c>
      <c r="C35" s="55" t="s">
        <v>20</v>
      </c>
      <c r="D35" s="55" t="s">
        <v>25</v>
      </c>
      <c r="E35" s="56">
        <v>55</v>
      </c>
      <c r="F35" s="56">
        <v>12.49</v>
      </c>
      <c r="G35" s="57">
        <v>686.95</v>
      </c>
    </row>
    <row r="36" ht="19.25" spans="1:9">
      <c r="A36" s="54">
        <v>45876</v>
      </c>
      <c r="B36" s="55" t="s">
        <v>10</v>
      </c>
      <c r="C36" s="55" t="s">
        <v>11</v>
      </c>
      <c r="D36" s="55" t="s">
        <v>25</v>
      </c>
      <c r="E36" s="56">
        <v>42</v>
      </c>
      <c r="F36" s="56">
        <v>23.95</v>
      </c>
      <c r="G36" s="57">
        <v>1005.9</v>
      </c>
    </row>
    <row r="37" ht="19.25" spans="1:9">
      <c r="A37" s="54">
        <v>45893</v>
      </c>
      <c r="B37" s="55" t="s">
        <v>16</v>
      </c>
      <c r="C37" s="55" t="s">
        <v>17</v>
      </c>
      <c r="D37" s="55" t="s">
        <v>24</v>
      </c>
      <c r="E37" s="56">
        <v>3</v>
      </c>
      <c r="F37" s="56">
        <v>275</v>
      </c>
      <c r="G37" s="57">
        <v>825</v>
      </c>
    </row>
    <row r="38" ht="19.25" spans="1:9">
      <c r="A38" s="54">
        <v>45910</v>
      </c>
      <c r="B38" s="55" t="s">
        <v>10</v>
      </c>
      <c r="C38" s="55" t="s">
        <v>14</v>
      </c>
      <c r="D38" s="55" t="s">
        <v>9</v>
      </c>
      <c r="E38" s="56">
        <v>7</v>
      </c>
      <c r="F38" s="56">
        <v>1.29</v>
      </c>
      <c r="G38" s="57">
        <v>9.03</v>
      </c>
    </row>
    <row r="39" ht="19.25" spans="1:9">
      <c r="A39" s="54">
        <v>45927</v>
      </c>
      <c r="B39" s="55" t="s">
        <v>16</v>
      </c>
      <c r="C39" s="55" t="s">
        <v>17</v>
      </c>
      <c r="D39" s="55" t="s">
        <v>15</v>
      </c>
      <c r="E39" s="56">
        <v>76</v>
      </c>
      <c r="F39" s="56">
        <v>1.99</v>
      </c>
      <c r="G39" s="57">
        <v>151.24</v>
      </c>
    </row>
    <row r="40" ht="37.75" spans="1:9">
      <c r="A40" s="54">
        <v>45944</v>
      </c>
      <c r="B40" s="55" t="s">
        <v>16</v>
      </c>
      <c r="C40" s="55" t="s">
        <v>19</v>
      </c>
      <c r="D40" s="55" t="s">
        <v>12</v>
      </c>
      <c r="E40" s="56">
        <v>57</v>
      </c>
      <c r="F40" s="56">
        <v>19.99</v>
      </c>
      <c r="G40" s="57">
        <v>1139.43</v>
      </c>
    </row>
    <row r="41" ht="37.75" spans="1:9">
      <c r="A41" s="54">
        <v>45961</v>
      </c>
      <c r="B41" s="55" t="s">
        <v>10</v>
      </c>
      <c r="C41" s="55" t="s">
        <v>18</v>
      </c>
      <c r="D41" s="55" t="s">
        <v>9</v>
      </c>
      <c r="E41" s="56">
        <v>14</v>
      </c>
      <c r="F41" s="56">
        <v>1.29</v>
      </c>
      <c r="G41" s="57">
        <v>18.06</v>
      </c>
      <c r="I41">
        <f>SUM(G2:G44)</f>
        <v>19627.88</v>
      </c>
    </row>
    <row r="42" ht="19.25" spans="1:9">
      <c r="A42" s="54">
        <v>45978</v>
      </c>
      <c r="B42" s="55" t="s">
        <v>10</v>
      </c>
      <c r="C42" s="55" t="s">
        <v>13</v>
      </c>
      <c r="D42" s="55" t="s">
        <v>12</v>
      </c>
      <c r="E42" s="56">
        <v>11</v>
      </c>
      <c r="F42" s="56">
        <v>4.99</v>
      </c>
      <c r="G42" s="57">
        <v>54.89</v>
      </c>
    </row>
    <row r="43" ht="19.25" spans="1:9">
      <c r="A43" s="54">
        <v>45995</v>
      </c>
      <c r="B43" s="55" t="s">
        <v>10</v>
      </c>
      <c r="C43" s="55" t="s">
        <v>13</v>
      </c>
      <c r="D43" s="55" t="s">
        <v>12</v>
      </c>
      <c r="E43" s="56">
        <v>94</v>
      </c>
      <c r="F43" s="56">
        <v>19.99</v>
      </c>
      <c r="G43" s="57">
        <v>1879.06</v>
      </c>
    </row>
    <row r="44" ht="37.75" spans="1:9">
      <c r="A44" s="54">
        <v>46012</v>
      </c>
      <c r="B44" s="55" t="s">
        <v>10</v>
      </c>
      <c r="C44" s="55" t="s">
        <v>18</v>
      </c>
      <c r="D44" s="55" t="s">
        <v>12</v>
      </c>
      <c r="E44" s="56">
        <v>28</v>
      </c>
      <c r="F44" s="56">
        <v>4.99</v>
      </c>
      <c r="G44" s="57">
        <v>139.72</v>
      </c>
    </row>
    <row r="45" ht="15.25" spans="1:9">
      <c r="A45" s="58"/>
      <c r="B45" s="58"/>
      <c r="C45" s="58"/>
      <c r="D45" s="58"/>
      <c r="E45" s="58"/>
      <c r="F45" s="58"/>
      <c r="G45" s="59">
        <v>19627.88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V54"/>
  <sheetViews>
    <sheetView tabSelected="1" workbookViewId="0">
      <pane xSplit="1" topLeftCell="B1" activePane="topRight" state="frozen"/>
      <selection/>
      <selection pane="topRight" activeCell="L47" sqref="L47"/>
    </sheetView>
  </sheetViews>
  <sheetFormatPr defaultColWidth="9" defaultRowHeight="18.5"/>
  <cols>
    <col min="1" max="1" width="34.2727272727273" style="1" customWidth="1"/>
    <col min="2" max="2" width="13.3636363636364" style="1" customWidth="1"/>
    <col min="3" max="3" width="7.90909090909091" style="1" customWidth="1"/>
    <col min="4" max="4" width="11.2727272727273" style="2" customWidth="1"/>
    <col min="5" max="5" width="13.5454545454545" style="2" customWidth="1"/>
    <col min="6" max="6" width="9.72727272727273" style="2" customWidth="1"/>
    <col min="7" max="7" width="8.90909090909091" style="3" customWidth="1"/>
    <col min="8" max="8" width="12" style="4" customWidth="1"/>
    <col min="9" max="9" width="12.2727272727273" style="5" customWidth="1"/>
    <col min="10" max="10" width="18.6363636363636" style="6" customWidth="1"/>
    <col min="11" max="11" width="11.6363636363636" style="7"/>
    <col min="12" max="13" width="18.6363636363636" style="7"/>
    <col min="14" max="14" width="11.6363636363636" style="7"/>
    <col min="15" max="16" width="17.7272727272727" style="7"/>
    <col min="17" max="17" width="18" style="7" customWidth="1"/>
    <col min="18" max="16383" width="8.72727272727273" style="7"/>
    <col min="16384" max="16384" width="9" style="7"/>
  </cols>
  <sheetData>
    <row r="1" ht="28" customHeight="1" spans="1:22">
      <c r="A1" s="8" t="s">
        <v>0</v>
      </c>
      <c r="B1" s="8" t="s">
        <v>26</v>
      </c>
      <c r="C1" s="8" t="s">
        <v>27</v>
      </c>
      <c r="D1" s="9" t="s">
        <v>1</v>
      </c>
      <c r="E1" s="9" t="s">
        <v>2</v>
      </c>
      <c r="F1" s="9" t="s">
        <v>3</v>
      </c>
      <c r="G1" s="10" t="s">
        <v>4</v>
      </c>
      <c r="H1" s="11" t="s">
        <v>5</v>
      </c>
      <c r="I1" s="12" t="s">
        <v>28</v>
      </c>
      <c r="J1" s="6" t="s">
        <v>29</v>
      </c>
      <c r="K1" s="13" t="s">
        <v>30</v>
      </c>
      <c r="M1"/>
    </row>
    <row r="2" spans="1:22">
      <c r="A2" s="14">
        <v>45297</v>
      </c>
      <c r="B2" s="15" t="str">
        <f>TEXT(Table1[[#This Row],[OrderDate]],"mmmm")</f>
        <v>January</v>
      </c>
      <c r="C2" s="16">
        <f t="shared" ref="C2:C45" si="0">YEAR(A2)</f>
        <v>2024</v>
      </c>
      <c r="D2" s="17" t="str">
        <f ca="1">PROPER(Table1[[#This Row],[Region]])</f>
        <v>East</v>
      </c>
      <c r="E2" s="17" t="str">
        <f ca="1">PROPER(Table1[[#This Row],[Rep]])</f>
        <v>Jones</v>
      </c>
      <c r="F2" s="17" t="str">
        <f ca="1">PROPER(Table1[[#This Row],[Item]])</f>
        <v>Pencil</v>
      </c>
      <c r="G2" s="18">
        <v>95</v>
      </c>
      <c r="H2" s="19">
        <v>1.99</v>
      </c>
      <c r="I2" s="20">
        <f>PRODUCT(Table1[[#This Row],[Units]],Table1[[#This Row],[Unit Cost]])</f>
        <v>189.05</v>
      </c>
      <c r="J2" s="21" t="str">
        <f t="shared" ref="J2:J45" si="1">IF(I2&gt;=500,"High Value","Normal Value")</f>
        <v>Normal Value</v>
      </c>
      <c r="K2" t="s">
        <v>26</v>
      </c>
      <c r="L2" t="s">
        <v>31</v>
      </c>
      <c r="M2"/>
      <c r="N2" s="22" t="s">
        <v>32</v>
      </c>
      <c r="O2" s="22"/>
      <c r="P2" s="22"/>
      <c r="Q2" s="22"/>
      <c r="R2" s="22"/>
      <c r="S2" s="22"/>
      <c r="T2" s="22"/>
      <c r="U2" s="22"/>
      <c r="V2" s="22"/>
    </row>
    <row r="3" spans="1:22">
      <c r="A3" s="14">
        <v>45314</v>
      </c>
      <c r="B3" s="15" t="str">
        <f>TEXT(Table1[[#This Row],[OrderDate]],"mmmm")</f>
        <v>January</v>
      </c>
      <c r="C3" s="16">
        <f t="shared" si="0"/>
        <v>2024</v>
      </c>
      <c r="D3" s="17" t="str">
        <f ca="1">PROPER(Table1[[#This Row],[Region]])</f>
        <v>Central</v>
      </c>
      <c r="E3" s="17" t="str">
        <f ca="1">PROPER(Table1[[#This Row],[Rep]])</f>
        <v>Kivell</v>
      </c>
      <c r="F3" s="17" t="str">
        <f ca="1">PROPER(Table1[[#This Row],[Item]])</f>
        <v>Binder</v>
      </c>
      <c r="G3" s="18">
        <v>50</v>
      </c>
      <c r="H3" s="19">
        <v>19.99</v>
      </c>
      <c r="I3" s="20">
        <f>PRODUCT(Table1[[#This Row],[Units]],Table1[[#This Row],[Unit Cost]])</f>
        <v>999.5</v>
      </c>
      <c r="J3" s="21" t="str">
        <f t="shared" si="1"/>
        <v>High Value</v>
      </c>
      <c r="K3" t="s">
        <v>33</v>
      </c>
      <c r="L3">
        <v>1602.09</v>
      </c>
      <c r="M3"/>
      <c r="N3" s="22" t="s">
        <v>34</v>
      </c>
      <c r="O3" s="22"/>
      <c r="P3" s="22"/>
      <c r="Q3" s="22"/>
      <c r="R3" s="22"/>
      <c r="S3" s="22"/>
      <c r="T3" s="22"/>
      <c r="U3" s="22"/>
      <c r="V3" s="22"/>
    </row>
    <row r="4" spans="1:22">
      <c r="A4" s="14">
        <v>45331</v>
      </c>
      <c r="B4" s="15" t="str">
        <f>TEXT(Table1[[#This Row],[OrderDate]],"mmmm")</f>
        <v>February</v>
      </c>
      <c r="C4" s="16">
        <f t="shared" si="0"/>
        <v>2024</v>
      </c>
      <c r="D4" s="17" t="str">
        <f ca="1">PROPER(Table1[[#This Row],[Region]])</f>
        <v>Central</v>
      </c>
      <c r="E4" s="17" t="str">
        <f ca="1">PROPER(Table1[[#This Row],[Rep]])</f>
        <v>Jardine</v>
      </c>
      <c r="F4" s="17" t="str">
        <f ca="1">PROPER(Table1[[#This Row],[Item]])</f>
        <v>Pencil</v>
      </c>
      <c r="G4" s="18">
        <v>36</v>
      </c>
      <c r="H4" s="19">
        <v>4.99</v>
      </c>
      <c r="I4" s="20">
        <f>PRODUCT(Table1[[#This Row],[Units]],Table1[[#This Row],[Unit Cost]])</f>
        <v>179.64</v>
      </c>
      <c r="J4" s="21" t="str">
        <f t="shared" si="1"/>
        <v>Normal Value</v>
      </c>
      <c r="K4" t="s">
        <v>35</v>
      </c>
      <c r="L4">
        <v>2044.33</v>
      </c>
      <c r="N4" s="22" t="s">
        <v>36</v>
      </c>
      <c r="O4" s="22"/>
      <c r="P4" s="22"/>
      <c r="Q4" s="22"/>
      <c r="R4" s="22"/>
      <c r="S4" s="22"/>
      <c r="T4" s="22"/>
      <c r="U4" s="22"/>
      <c r="V4" s="22"/>
    </row>
    <row r="5" spans="1:22">
      <c r="A5" s="14">
        <v>45348</v>
      </c>
      <c r="B5" s="15" t="str">
        <f>TEXT(Table1[[#This Row],[OrderDate]],"mmmm")</f>
        <v>February</v>
      </c>
      <c r="C5" s="16">
        <f t="shared" si="0"/>
        <v>2024</v>
      </c>
      <c r="D5" s="17" t="str">
        <f ca="1">PROPER(Table1[[#This Row],[Region]])</f>
        <v>Central</v>
      </c>
      <c r="E5" s="17" t="str">
        <f ca="1">PROPER(Table1[[#This Row],[Rep]])</f>
        <v>Gill</v>
      </c>
      <c r="F5" s="17" t="str">
        <f ca="1">PROPER(Table1[[#This Row],[Item]])</f>
        <v>Pen</v>
      </c>
      <c r="G5" s="18">
        <v>27</v>
      </c>
      <c r="H5" s="19">
        <v>19.99</v>
      </c>
      <c r="I5" s="20">
        <f>PRODUCT(Table1[[#This Row],[Units]],Table1[[#This Row],[Unit Cost]])</f>
        <v>539.73</v>
      </c>
      <c r="J5" s="21" t="str">
        <f t="shared" si="1"/>
        <v>High Value</v>
      </c>
      <c r="K5" t="s">
        <v>37</v>
      </c>
      <c r="L5">
        <v>556.87</v>
      </c>
      <c r="N5" s="22" t="s">
        <v>38</v>
      </c>
      <c r="O5" s="22"/>
      <c r="P5" s="22"/>
      <c r="Q5" s="22"/>
      <c r="R5" s="22"/>
      <c r="S5" s="22"/>
      <c r="T5" s="22"/>
      <c r="U5" s="22"/>
      <c r="V5" s="22"/>
    </row>
    <row r="6" spans="1:22">
      <c r="A6" s="14">
        <v>45366</v>
      </c>
      <c r="B6" s="15" t="str">
        <f>TEXT(Table1[[#This Row],[OrderDate]],"mmmm")</f>
        <v>March</v>
      </c>
      <c r="C6" s="16">
        <f t="shared" si="0"/>
        <v>2024</v>
      </c>
      <c r="D6" s="17" t="str">
        <f ca="1">PROPER(Table1[[#This Row],[Region]])</f>
        <v>West</v>
      </c>
      <c r="E6" s="17" t="str">
        <f ca="1">PROPER(Table1[[#This Row],[Rep]])</f>
        <v>Sorvino</v>
      </c>
      <c r="F6" s="17" t="str">
        <f ca="1">PROPER(Table1[[#This Row],[Item]])</f>
        <v>Pencil</v>
      </c>
      <c r="G6" s="18">
        <v>56</v>
      </c>
      <c r="H6" s="19">
        <v>2.99</v>
      </c>
      <c r="I6" s="20">
        <f>PRODUCT(Table1[[#This Row],[Units]],Table1[[#This Row],[Unit Cost]])</f>
        <v>167.44</v>
      </c>
      <c r="J6" s="21" t="str">
        <f t="shared" si="1"/>
        <v>Normal Value</v>
      </c>
      <c r="K6" t="s">
        <v>39</v>
      </c>
      <c r="L6">
        <v>1059.03</v>
      </c>
      <c r="N6" s="22" t="s">
        <v>40</v>
      </c>
      <c r="O6" s="22"/>
      <c r="P6" s="22"/>
      <c r="Q6" s="22"/>
      <c r="R6" s="22"/>
      <c r="S6" s="22"/>
      <c r="T6" s="22"/>
      <c r="U6" s="22"/>
      <c r="V6" s="22"/>
    </row>
    <row r="7" spans="1:22">
      <c r="A7" s="14">
        <v>45383</v>
      </c>
      <c r="B7" s="15" t="str">
        <f>TEXT(Table1[[#This Row],[OrderDate]],"mmmm")</f>
        <v>April</v>
      </c>
      <c r="C7" s="16">
        <f t="shared" si="0"/>
        <v>2024</v>
      </c>
      <c r="D7" s="17" t="str">
        <f ca="1">PROPER(Table1[[#This Row],[Region]])</f>
        <v>East</v>
      </c>
      <c r="E7" s="17" t="str">
        <f ca="1">PROPER(Table1[[#This Row],[Rep]])</f>
        <v>Jones</v>
      </c>
      <c r="F7" s="17" t="str">
        <f ca="1">PROPER(Table1[[#This Row],[Item]])</f>
        <v>Binder</v>
      </c>
      <c r="G7" s="18">
        <v>60</v>
      </c>
      <c r="H7" s="19">
        <v>4.99</v>
      </c>
      <c r="I7" s="20">
        <f>PRODUCT(Table1[[#This Row],[Units]],Table1[[#This Row],[Unit Cost]])</f>
        <v>299.4</v>
      </c>
      <c r="J7" s="21" t="str">
        <f t="shared" si="1"/>
        <v>Normal Value</v>
      </c>
      <c r="K7" t="s">
        <v>41</v>
      </c>
      <c r="L7">
        <v>1300.35</v>
      </c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14">
        <v>45400</v>
      </c>
      <c r="B8" s="15" t="str">
        <f>TEXT(Table1[[#This Row],[OrderDate]],"mmmm")</f>
        <v>April</v>
      </c>
      <c r="C8" s="16">
        <f t="shared" si="0"/>
        <v>2024</v>
      </c>
      <c r="D8" s="17" t="str">
        <f ca="1">PROPER(Table1[[#This Row],[Region]])</f>
        <v>Central</v>
      </c>
      <c r="E8" s="17" t="str">
        <f ca="1">PROPER(Table1[[#This Row],[Rep]])</f>
        <v>Andrews</v>
      </c>
      <c r="F8" s="17" t="str">
        <f ca="1">PROPER(Table1[[#This Row],[Item]])</f>
        <v>Pencil</v>
      </c>
      <c r="G8" s="18">
        <v>75</v>
      </c>
      <c r="H8" s="19">
        <v>1.99</v>
      </c>
      <c r="I8" s="20">
        <f>PRODUCT(Table1[[#This Row],[Units]],Table1[[#This Row],[Unit Cost]])</f>
        <v>149.25</v>
      </c>
      <c r="J8" s="21" t="str">
        <f t="shared" si="1"/>
        <v>Normal Value</v>
      </c>
      <c r="K8" t="s">
        <v>42</v>
      </c>
      <c r="L8">
        <v>1613.5</v>
      </c>
      <c r="N8" s="22" t="s">
        <v>43</v>
      </c>
      <c r="O8" s="22"/>
      <c r="P8" s="22"/>
      <c r="Q8" s="22"/>
      <c r="R8" s="22"/>
      <c r="S8" s="22"/>
      <c r="T8" s="22"/>
      <c r="U8" s="22"/>
      <c r="V8" s="22"/>
    </row>
    <row r="9" spans="1:22">
      <c r="A9" s="14">
        <v>45417</v>
      </c>
      <c r="B9" s="15" t="str">
        <f>TEXT(Table1[[#This Row],[OrderDate]],"mmmm")</f>
        <v>May</v>
      </c>
      <c r="C9" s="16">
        <f t="shared" si="0"/>
        <v>2024</v>
      </c>
      <c r="D9" s="17" t="str">
        <f ca="1">PROPER(Table1[[#This Row],[Region]])</f>
        <v>Central</v>
      </c>
      <c r="E9" s="17" t="str">
        <f ca="1">PROPER(Table1[[#This Row],[Rep]])</f>
        <v>Jardine</v>
      </c>
      <c r="F9" s="17" t="str">
        <f ca="1">PROPER(Table1[[#This Row],[Item]])</f>
        <v>Pencil</v>
      </c>
      <c r="G9" s="18">
        <v>90</v>
      </c>
      <c r="H9" s="19">
        <v>4.99</v>
      </c>
      <c r="I9" s="20">
        <f>PRODUCT(Table1[[#This Row],[Units]],Table1[[#This Row],[Unit Cost]])</f>
        <v>449.1</v>
      </c>
      <c r="J9" s="21" t="str">
        <f t="shared" si="1"/>
        <v>Normal Value</v>
      </c>
      <c r="K9" t="s">
        <v>44</v>
      </c>
      <c r="L9">
        <v>2673.23</v>
      </c>
      <c r="N9" s="22" t="s">
        <v>45</v>
      </c>
      <c r="O9" s="22"/>
      <c r="P9" s="22"/>
      <c r="Q9" s="22"/>
      <c r="R9" s="22"/>
      <c r="S9" s="22"/>
      <c r="T9" s="22"/>
      <c r="U9" s="22"/>
      <c r="V9" s="22"/>
    </row>
    <row r="10" spans="1:22">
      <c r="A10" s="14">
        <v>45434</v>
      </c>
      <c r="B10" s="15" t="str">
        <f>TEXT(Table1[[#This Row],[OrderDate]],"mmmm")</f>
        <v>May</v>
      </c>
      <c r="C10" s="16">
        <f t="shared" si="0"/>
        <v>2024</v>
      </c>
      <c r="D10" s="17" t="str">
        <f ca="1">PROPER(Table1[[#This Row],[Region]])</f>
        <v>West</v>
      </c>
      <c r="E10" s="17" t="str">
        <f ca="1">PROPER(Table1[[#This Row],[Rep]])</f>
        <v>Thompson</v>
      </c>
      <c r="F10" s="17" t="str">
        <f ca="1">PROPER(Table1[[#This Row],[Item]])</f>
        <v>Pencil</v>
      </c>
      <c r="G10" s="18">
        <v>32</v>
      </c>
      <c r="H10" s="19">
        <v>1.99</v>
      </c>
      <c r="I10" s="20">
        <f>PRODUCT(Table1[[#This Row],[Units]],Table1[[#This Row],[Unit Cost]])</f>
        <v>63.68</v>
      </c>
      <c r="J10" s="21" t="str">
        <f t="shared" si="1"/>
        <v>Normal Value</v>
      </c>
      <c r="K10" t="s">
        <v>46</v>
      </c>
      <c r="L10">
        <v>2005.55</v>
      </c>
      <c r="N10" s="22" t="s">
        <v>47</v>
      </c>
      <c r="O10" s="22"/>
      <c r="P10" s="22"/>
      <c r="Q10" s="22"/>
      <c r="R10" s="22"/>
      <c r="S10" s="22"/>
      <c r="T10" s="22"/>
      <c r="U10" s="22"/>
      <c r="V10" s="22"/>
    </row>
    <row r="11" spans="1:22">
      <c r="A11" s="14">
        <v>45451</v>
      </c>
      <c r="B11" s="15" t="str">
        <f>TEXT(Table1[[#This Row],[OrderDate]],"mmmm")</f>
        <v>June</v>
      </c>
      <c r="C11" s="16">
        <f t="shared" si="0"/>
        <v>2024</v>
      </c>
      <c r="D11" s="17" t="str">
        <f ca="1">PROPER(Table1[[#This Row],[Region]])</f>
        <v>East</v>
      </c>
      <c r="E11" s="17" t="str">
        <f ca="1">PROPER(Table1[[#This Row],[Rep]])</f>
        <v>Jones</v>
      </c>
      <c r="F11" s="17" t="str">
        <f ca="1">PROPER(Table1[[#This Row],[Item]])</f>
        <v>Binder</v>
      </c>
      <c r="G11" s="18">
        <v>60</v>
      </c>
      <c r="H11" s="19">
        <v>8.99</v>
      </c>
      <c r="I11" s="20">
        <f>PRODUCT(Table1[[#This Row],[Units]],Table1[[#This Row],[Unit Cost]])</f>
        <v>539.4</v>
      </c>
      <c r="J11" s="21" t="str">
        <f t="shared" si="1"/>
        <v>High Value</v>
      </c>
      <c r="K11" t="s">
        <v>48</v>
      </c>
      <c r="L11">
        <v>666.11</v>
      </c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14">
        <v>45468</v>
      </c>
      <c r="B12" s="15" t="str">
        <f>TEXT(Table1[[#This Row],[OrderDate]],"mmmm")</f>
        <v>June</v>
      </c>
      <c r="C12" s="16">
        <f t="shared" si="0"/>
        <v>2024</v>
      </c>
      <c r="D12" s="17" t="str">
        <f ca="1">PROPER(Table1[[#This Row],[Region]])</f>
        <v>Central</v>
      </c>
      <c r="E12" s="17" t="str">
        <f ca="1">PROPER(Table1[[#This Row],[Rep]])</f>
        <v>Morgan</v>
      </c>
      <c r="F12" s="17" t="str">
        <f ca="1">PROPER(Table1[[#This Row],[Item]])</f>
        <v>Pencil</v>
      </c>
      <c r="G12" s="18">
        <v>90</v>
      </c>
      <c r="H12" s="19">
        <v>4.99</v>
      </c>
      <c r="I12" s="20">
        <f>PRODUCT(Table1[[#This Row],[Units]],Table1[[#This Row],[Unit Cost]])</f>
        <v>449.1</v>
      </c>
      <c r="J12" s="21" t="str">
        <f t="shared" si="1"/>
        <v>Normal Value</v>
      </c>
      <c r="K12" t="s">
        <v>49</v>
      </c>
      <c r="L12">
        <v>1984.57</v>
      </c>
      <c r="N12" s="22"/>
      <c r="O12" s="22"/>
      <c r="P12" s="22"/>
      <c r="Q12" s="22"/>
      <c r="R12" s="22"/>
      <c r="S12" s="22"/>
      <c r="T12" s="22"/>
      <c r="U12" s="22"/>
      <c r="V12" s="22"/>
    </row>
    <row r="13" spans="1:22">
      <c r="A13" s="14">
        <v>45485</v>
      </c>
      <c r="B13" s="15" t="str">
        <f>TEXT(Table1[[#This Row],[OrderDate]],"mmmm")</f>
        <v>July</v>
      </c>
      <c r="C13" s="16">
        <f t="shared" si="0"/>
        <v>2024</v>
      </c>
      <c r="D13" s="17" t="str">
        <f ca="1">PROPER(Table1[[#This Row],[Region]])</f>
        <v>East</v>
      </c>
      <c r="E13" s="17" t="str">
        <f ca="1">PROPER(Table1[[#This Row],[Rep]])</f>
        <v>Howard</v>
      </c>
      <c r="F13" s="17" t="str">
        <f ca="1">PROPER(Table1[[#This Row],[Item]])</f>
        <v>Binder</v>
      </c>
      <c r="G13" s="18">
        <v>29</v>
      </c>
      <c r="H13" s="19">
        <v>1.99</v>
      </c>
      <c r="I13" s="20">
        <f>PRODUCT(Table1[[#This Row],[Units]],Table1[[#This Row],[Unit Cost]])</f>
        <v>57.71</v>
      </c>
      <c r="J13" s="21" t="str">
        <f t="shared" si="1"/>
        <v>Normal Value</v>
      </c>
      <c r="K13" t="s">
        <v>50</v>
      </c>
      <c r="L13">
        <v>833.78</v>
      </c>
      <c r="M13"/>
      <c r="N13" s="22"/>
      <c r="O13" s="22"/>
      <c r="P13" s="22"/>
      <c r="Q13" s="22"/>
      <c r="R13" s="22"/>
      <c r="S13" s="22"/>
      <c r="T13" s="22"/>
      <c r="U13" s="22"/>
      <c r="V13" s="22"/>
    </row>
    <row r="14" spans="1:22">
      <c r="A14" s="14">
        <v>45502</v>
      </c>
      <c r="B14" s="15" t="str">
        <f>TEXT(Table1[[#This Row],[OrderDate]],"mmmm")</f>
        <v>July</v>
      </c>
      <c r="C14" s="16">
        <f t="shared" si="0"/>
        <v>2024</v>
      </c>
      <c r="D14" s="17" t="str">
        <f ca="1">PROPER(Table1[[#This Row],[Region]])</f>
        <v>East</v>
      </c>
      <c r="E14" s="17" t="str">
        <f ca="1">PROPER(Table1[[#This Row],[Rep]])</f>
        <v>Parent</v>
      </c>
      <c r="F14" s="17" t="str">
        <f ca="1">PROPER(Table1[[#This Row],[Item]])</f>
        <v>Binder</v>
      </c>
      <c r="G14" s="18">
        <v>81</v>
      </c>
      <c r="H14" s="19">
        <v>19.99</v>
      </c>
      <c r="I14" s="20">
        <f>PRODUCT(Table1[[#This Row],[Units]],Table1[[#This Row],[Unit Cost]])</f>
        <v>1619.19</v>
      </c>
      <c r="J14" s="21" t="str">
        <f t="shared" si="1"/>
        <v>High Value</v>
      </c>
      <c r="K14" t="s">
        <v>51</v>
      </c>
      <c r="L14">
        <v>3428.19</v>
      </c>
      <c r="M14"/>
      <c r="N14" s="22"/>
      <c r="O14" s="22"/>
      <c r="P14" s="22"/>
      <c r="Q14" s="22"/>
      <c r="R14" s="22"/>
      <c r="S14" s="22"/>
      <c r="T14" s="22"/>
      <c r="U14" s="22"/>
      <c r="V14" s="22"/>
    </row>
    <row r="15" spans="1:22">
      <c r="A15" s="14">
        <v>45519</v>
      </c>
      <c r="B15" s="15" t="str">
        <f>TEXT(Table1[[#This Row],[OrderDate]],"mmmm")</f>
        <v>August</v>
      </c>
      <c r="C15" s="16">
        <f t="shared" si="0"/>
        <v>2024</v>
      </c>
      <c r="D15" s="17" t="str">
        <f ca="1">PROPER(Table1[[#This Row],[Region]])</f>
        <v>East</v>
      </c>
      <c r="E15" s="17" t="str">
        <f ca="1">PROPER(Table1[[#This Row],[Rep]])</f>
        <v>Jones</v>
      </c>
      <c r="F15" s="17" t="str">
        <f ca="1">PROPER(Table1[[#This Row],[Item]])</f>
        <v>Pencil</v>
      </c>
      <c r="G15" s="18">
        <v>35</v>
      </c>
      <c r="H15" s="19">
        <v>4.99</v>
      </c>
      <c r="I15" s="20">
        <f>PRODUCT(Table1[[#This Row],[Units]],Table1[[#This Row],[Unit Cost]])</f>
        <v>174.65</v>
      </c>
      <c r="J15" s="21" t="str">
        <f t="shared" si="1"/>
        <v>Normal Value</v>
      </c>
      <c r="K15" t="s">
        <v>52</v>
      </c>
      <c r="L15">
        <v>19767.6</v>
      </c>
      <c r="M15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A16" s="14">
        <v>45536</v>
      </c>
      <c r="B16" s="15" t="str">
        <f>TEXT(Table1[[#This Row],[OrderDate]],"mmmm")</f>
        <v>September</v>
      </c>
      <c r="C16" s="16">
        <f t="shared" si="0"/>
        <v>2024</v>
      </c>
      <c r="D16" s="17" t="str">
        <f ca="1">PROPER(Table1[[#This Row],[Region]])</f>
        <v>Central</v>
      </c>
      <c r="E16" s="17" t="str">
        <f ca="1">PROPER(Table1[[#This Row],[Rep]])</f>
        <v>Smith</v>
      </c>
      <c r="F16" s="17" t="str">
        <f ca="1">PROPER(Table1[[#This Row],[Item]])</f>
        <v>Desk</v>
      </c>
      <c r="G16" s="18">
        <v>2</v>
      </c>
      <c r="H16" s="19">
        <v>125</v>
      </c>
      <c r="I16" s="20">
        <f>PRODUCT(Table1[[#This Row],[Units]],Table1[[#This Row],[Unit Cost]])</f>
        <v>250</v>
      </c>
      <c r="J16" s="21" t="str">
        <f t="shared" si="1"/>
        <v>Normal Value</v>
      </c>
      <c r="K16"/>
      <c r="L16"/>
      <c r="M16"/>
      <c r="N16" s="22"/>
      <c r="O16" s="22"/>
      <c r="P16" s="22"/>
      <c r="Q16" s="22"/>
      <c r="R16" s="22"/>
      <c r="S16" s="22"/>
      <c r="T16" s="22"/>
      <c r="U16" s="22"/>
      <c r="V16" s="22"/>
    </row>
    <row r="17" spans="1:22">
      <c r="A17" s="14">
        <v>45553</v>
      </c>
      <c r="B17" s="15" t="str">
        <f>TEXT(Table1[[#This Row],[OrderDate]],"mmmm")</f>
        <v>September</v>
      </c>
      <c r="C17" s="16">
        <f t="shared" si="0"/>
        <v>2024</v>
      </c>
      <c r="D17" s="17" t="str">
        <f ca="1">PROPER(Table1[[#This Row],[Region]])</f>
        <v>East</v>
      </c>
      <c r="E17" s="17" t="str">
        <f ca="1">PROPER(Table1[[#This Row],[Rep]])</f>
        <v>Jones</v>
      </c>
      <c r="F17" s="17" t="str">
        <f ca="1">PROPER(Table1[[#This Row],[Item]])</f>
        <v>Pen Set</v>
      </c>
      <c r="G17" s="18">
        <v>16</v>
      </c>
      <c r="H17" s="19">
        <v>15.99</v>
      </c>
      <c r="I17" s="20">
        <f>PRODUCT(Table1[[#This Row],[Units]],Table1[[#This Row],[Unit Cost]])</f>
        <v>255.84</v>
      </c>
      <c r="J17" s="21" t="str">
        <f t="shared" si="1"/>
        <v>Normal Value</v>
      </c>
      <c r="K17" s="13" t="s">
        <v>53</v>
      </c>
      <c r="M17"/>
      <c r="N17" s="22"/>
      <c r="O17" s="22"/>
      <c r="P17" s="22"/>
      <c r="Q17" s="22"/>
      <c r="R17" s="22"/>
      <c r="S17" s="22"/>
      <c r="T17" s="22"/>
      <c r="U17" s="22"/>
      <c r="V17" s="22"/>
    </row>
    <row r="18" spans="1:22">
      <c r="A18" s="14">
        <v>45570</v>
      </c>
      <c r="B18" s="15" t="str">
        <f>TEXT(Table1[[#This Row],[OrderDate]],"mmmm")</f>
        <v>October</v>
      </c>
      <c r="C18" s="16">
        <f t="shared" si="0"/>
        <v>2024</v>
      </c>
      <c r="D18" s="17" t="str">
        <f ca="1">PROPER(Table1[[#This Row],[Region]])</f>
        <v>Central</v>
      </c>
      <c r="E18" s="17" t="str">
        <f ca="1">PROPER(Table1[[#This Row],[Rep]])</f>
        <v>Morgan</v>
      </c>
      <c r="F18" s="17" t="str">
        <f ca="1">PROPER(Table1[[#This Row],[Item]])</f>
        <v>Binder</v>
      </c>
      <c r="G18" s="18">
        <v>28</v>
      </c>
      <c r="H18" s="19">
        <v>8.99</v>
      </c>
      <c r="I18" s="20">
        <f>PRODUCT(Table1[[#This Row],[Units]],Table1[[#This Row],[Unit Cost]])</f>
        <v>251.72</v>
      </c>
      <c r="J18" s="21" t="str">
        <f t="shared" si="1"/>
        <v>Normal Value</v>
      </c>
      <c r="K18" t="s">
        <v>3</v>
      </c>
      <c r="L18" t="s">
        <v>31</v>
      </c>
      <c r="M18"/>
      <c r="N18" s="22"/>
      <c r="O18" s="22" t="s">
        <v>54</v>
      </c>
      <c r="P18" s="22"/>
      <c r="Q18" s="22"/>
      <c r="R18" s="22"/>
      <c r="S18" s="22"/>
      <c r="T18" s="22"/>
      <c r="U18" s="22"/>
      <c r="V18" s="22"/>
    </row>
    <row r="19" spans="1:22">
      <c r="A19" s="14">
        <v>45587</v>
      </c>
      <c r="B19" s="15" t="str">
        <f>TEXT(Table1[[#This Row],[OrderDate]],"mmmm")</f>
        <v>October</v>
      </c>
      <c r="C19" s="16">
        <f t="shared" si="0"/>
        <v>2024</v>
      </c>
      <c r="D19" s="17" t="str">
        <f ca="1">PROPER(Table1[[#This Row],[Region]])</f>
        <v>East</v>
      </c>
      <c r="E19" s="17" t="str">
        <f ca="1">PROPER(Table1[[#This Row],[Rep]])</f>
        <v>Jones</v>
      </c>
      <c r="F19" s="17" t="str">
        <f ca="1">PROPER(Table1[[#This Row],[Item]])</f>
        <v>Pen</v>
      </c>
      <c r="G19" s="18">
        <v>64</v>
      </c>
      <c r="H19" s="19">
        <v>8.99</v>
      </c>
      <c r="I19" s="20">
        <f>PRODUCT(Table1[[#This Row],[Units]],Table1[[#This Row],[Unit Cost]])</f>
        <v>575.36</v>
      </c>
      <c r="J19" s="21" t="str">
        <f t="shared" si="1"/>
        <v>High Value</v>
      </c>
      <c r="K19" t="s">
        <v>12</v>
      </c>
      <c r="L19">
        <v>9717.37</v>
      </c>
      <c r="M19"/>
      <c r="N19" s="22"/>
      <c r="O19" s="22" t="s">
        <v>55</v>
      </c>
      <c r="P19" s="22"/>
      <c r="Q19" s="22"/>
      <c r="R19" s="22"/>
      <c r="S19" s="22"/>
      <c r="T19" s="22"/>
      <c r="U19" s="22"/>
      <c r="V19" s="22"/>
    </row>
    <row r="20" spans="1:22">
      <c r="A20" s="14">
        <v>45604</v>
      </c>
      <c r="B20" s="15" t="str">
        <f>TEXT(Table1[[#This Row],[OrderDate]],"mmmm")</f>
        <v>November</v>
      </c>
      <c r="C20" s="16">
        <f t="shared" si="0"/>
        <v>2024</v>
      </c>
      <c r="D20" s="17" t="str">
        <f ca="1">PROPER(Table1[[#This Row],[Region]])</f>
        <v>East</v>
      </c>
      <c r="E20" s="17" t="str">
        <f ca="1">PROPER(Table1[[#This Row],[Rep]])</f>
        <v>Parent</v>
      </c>
      <c r="F20" s="17" t="str">
        <f ca="1">PROPER(Table1[[#This Row],[Item]])</f>
        <v>Pen</v>
      </c>
      <c r="G20" s="18">
        <v>15</v>
      </c>
      <c r="H20" s="19">
        <v>19.99</v>
      </c>
      <c r="I20" s="20">
        <f>PRODUCT(Table1[[#This Row],[Units]],Table1[[#This Row],[Unit Cost]])</f>
        <v>299.85</v>
      </c>
      <c r="J20" s="21" t="str">
        <f t="shared" si="1"/>
        <v>Normal Value</v>
      </c>
      <c r="K20" t="s">
        <v>24</v>
      </c>
      <c r="L20">
        <v>1700</v>
      </c>
      <c r="M20"/>
      <c r="N20" s="22"/>
      <c r="O20" s="22" t="s">
        <v>56</v>
      </c>
      <c r="P20" s="22"/>
      <c r="Q20" s="22"/>
      <c r="R20" s="22"/>
      <c r="S20" s="22"/>
      <c r="T20" s="22"/>
      <c r="U20" s="22"/>
      <c r="V20" s="22"/>
    </row>
    <row r="21" spans="1:22">
      <c r="A21" s="14">
        <v>45621</v>
      </c>
      <c r="B21" s="15" t="str">
        <f>TEXT(Table1[[#This Row],[OrderDate]],"mmmm")</f>
        <v>November</v>
      </c>
      <c r="C21" s="16">
        <f t="shared" si="0"/>
        <v>2024</v>
      </c>
      <c r="D21" s="17" t="str">
        <f ca="1">PROPER(Table1[[#This Row],[Region]])</f>
        <v>Central</v>
      </c>
      <c r="E21" s="17" t="str">
        <f ca="1">PROPER(Table1[[#This Row],[Rep]])</f>
        <v>Kivell</v>
      </c>
      <c r="F21" s="17" t="str">
        <f ca="1">PROPER(Table1[[#This Row],[Item]])</f>
        <v>Pen Set</v>
      </c>
      <c r="G21" s="18">
        <v>96</v>
      </c>
      <c r="H21" s="19">
        <v>4.99</v>
      </c>
      <c r="I21" s="20">
        <f>PRODUCT(Table1[[#This Row],[Units]],Table1[[#This Row],[Unit Cost]])</f>
        <v>479.04</v>
      </c>
      <c r="J21" s="21" t="str">
        <f t="shared" si="1"/>
        <v>Normal Value</v>
      </c>
      <c r="K21" t="s">
        <v>15</v>
      </c>
      <c r="L21">
        <v>2045.22</v>
      </c>
      <c r="M21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14">
        <v>45638</v>
      </c>
      <c r="B22" s="15" t="str">
        <f>TEXT(Table1[[#This Row],[OrderDate]],"mmmm")</f>
        <v>December</v>
      </c>
      <c r="C22" s="16">
        <f t="shared" si="0"/>
        <v>2024</v>
      </c>
      <c r="D22" s="17" t="str">
        <f ca="1">PROPER(Table1[[#This Row],[Region]])</f>
        <v>Central</v>
      </c>
      <c r="E22" s="17" t="str">
        <f ca="1">PROPER(Table1[[#This Row],[Rep]])</f>
        <v>Smith</v>
      </c>
      <c r="F22" s="17" t="str">
        <f ca="1">PROPER(Table1[[#This Row],[Item]])</f>
        <v>Pencil</v>
      </c>
      <c r="G22" s="18">
        <v>67</v>
      </c>
      <c r="H22" s="19">
        <v>1.29</v>
      </c>
      <c r="I22" s="20">
        <f>PRODUCT(Table1[[#This Row],[Units]],Table1[[#This Row],[Unit Cost]])</f>
        <v>86.43</v>
      </c>
      <c r="J22" s="21" t="str">
        <f t="shared" si="1"/>
        <v>Normal Value</v>
      </c>
      <c r="K22" t="s">
        <v>25</v>
      </c>
      <c r="L22">
        <v>4169.87</v>
      </c>
      <c r="M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14">
        <v>45655</v>
      </c>
      <c r="B23" s="15" t="str">
        <f>TEXT(Table1[[#This Row],[OrderDate]],"mmmm")</f>
        <v>December</v>
      </c>
      <c r="C23" s="16">
        <f t="shared" si="0"/>
        <v>2024</v>
      </c>
      <c r="D23" s="17" t="str">
        <f ca="1">PROPER(Table1[[#This Row],[Region]])</f>
        <v>East</v>
      </c>
      <c r="E23" s="17" t="str">
        <f ca="1">PROPER(Table1[[#This Row],[Rep]])</f>
        <v>Parent</v>
      </c>
      <c r="F23" s="17" t="str">
        <f ca="1">PROPER(Table1[[#This Row],[Item]])</f>
        <v>Pen Set</v>
      </c>
      <c r="G23" s="18">
        <v>74</v>
      </c>
      <c r="H23" s="19">
        <v>15.99</v>
      </c>
      <c r="I23" s="20">
        <f>PRODUCT(Table1[[#This Row],[Units]],Table1[[#This Row],[Unit Cost]])</f>
        <v>1183.26</v>
      </c>
      <c r="J23" s="21" t="str">
        <f t="shared" si="1"/>
        <v>High Value</v>
      </c>
      <c r="K23" t="s">
        <v>9</v>
      </c>
      <c r="L23">
        <v>2135.14</v>
      </c>
      <c r="M23"/>
      <c r="N23" s="22"/>
      <c r="O23" s="22" t="s">
        <v>57</v>
      </c>
      <c r="P23" s="22"/>
      <c r="Q23" s="22"/>
      <c r="R23" s="22"/>
      <c r="S23" s="22"/>
      <c r="T23" s="22"/>
      <c r="U23" s="22"/>
      <c r="V23" s="22"/>
    </row>
    <row r="24" spans="1:22">
      <c r="A24" s="14">
        <v>45672</v>
      </c>
      <c r="B24" s="15" t="str">
        <f>TEXT(Table1[[#This Row],[OrderDate]],"mmmm")</f>
        <v>January</v>
      </c>
      <c r="C24" s="16">
        <f t="shared" si="0"/>
        <v>2025</v>
      </c>
      <c r="D24" s="17" t="str">
        <f ca="1">PROPER(Table1[[#This Row],[Region]])</f>
        <v>Central</v>
      </c>
      <c r="E24" s="17" t="str">
        <f ca="1">PROPER(Table1[[#This Row],[Rep]])</f>
        <v>Gill</v>
      </c>
      <c r="F24" s="17" t="str">
        <f ca="1">PROPER(Table1[[#This Row],[Item]])</f>
        <v>Binder</v>
      </c>
      <c r="G24" s="18">
        <v>46</v>
      </c>
      <c r="H24" s="19">
        <v>8.99</v>
      </c>
      <c r="I24" s="20">
        <f>PRODUCT(Table1[[#This Row],[Units]],Table1[[#This Row],[Unit Cost]])</f>
        <v>413.54</v>
      </c>
      <c r="J24" s="21" t="str">
        <f t="shared" si="1"/>
        <v>Normal Value</v>
      </c>
      <c r="K24" t="s">
        <v>52</v>
      </c>
      <c r="L24">
        <v>19767.6</v>
      </c>
      <c r="M24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14">
        <v>45689</v>
      </c>
      <c r="B25" s="15" t="str">
        <f>TEXT(Table1[[#This Row],[OrderDate]],"mmmm")</f>
        <v>February</v>
      </c>
      <c r="C25" s="16">
        <f t="shared" si="0"/>
        <v>2025</v>
      </c>
      <c r="D25" s="17" t="str">
        <f ca="1">PROPER(Table1[[#This Row],[Region]])</f>
        <v>Central</v>
      </c>
      <c r="E25" s="17" t="str">
        <f ca="1">PROPER(Table1[[#This Row],[Rep]])</f>
        <v>Smith</v>
      </c>
      <c r="F25" s="17" t="str">
        <f ca="1">PROPER(Table1[[#This Row],[Item]])</f>
        <v>Binder</v>
      </c>
      <c r="G25" s="18">
        <v>87</v>
      </c>
      <c r="H25" s="19">
        <v>15</v>
      </c>
      <c r="I25" s="20">
        <f>PRODUCT(Table1[[#This Row],[Units]],Table1[[#This Row],[Unit Cost]])</f>
        <v>1305</v>
      </c>
      <c r="J25" s="21" t="str">
        <f t="shared" si="1"/>
        <v>High Value</v>
      </c>
      <c r="K25"/>
      <c r="L25"/>
      <c r="M25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14">
        <v>45706</v>
      </c>
      <c r="B26" s="15" t="str">
        <f>TEXT(Table1[[#This Row],[OrderDate]],"mmmm")</f>
        <v>February</v>
      </c>
      <c r="C26" s="16">
        <f t="shared" si="0"/>
        <v>2025</v>
      </c>
      <c r="D26" s="17" t="str">
        <f ca="1">PROPER(Table1[[#This Row],[Region]])</f>
        <v>East</v>
      </c>
      <c r="E26" s="17" t="str">
        <f ca="1">PROPER(Table1[[#This Row],[Rep]])</f>
        <v>Jones</v>
      </c>
      <c r="F26" s="17" t="str">
        <f ca="1">PROPER(Table1[[#This Row],[Item]])</f>
        <v>Binder</v>
      </c>
      <c r="G26" s="18">
        <v>4</v>
      </c>
      <c r="H26" s="19">
        <v>4.99</v>
      </c>
      <c r="I26" s="20">
        <f>PRODUCT(Table1[[#This Row],[Units]],Table1[[#This Row],[Unit Cost]])</f>
        <v>19.96</v>
      </c>
      <c r="J26" s="21" t="str">
        <f t="shared" si="1"/>
        <v>Normal Value</v>
      </c>
      <c r="K26"/>
      <c r="L26"/>
      <c r="M26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14">
        <v>45723</v>
      </c>
      <c r="B27" s="15" t="str">
        <f>TEXT(Table1[[#This Row],[OrderDate]],"mmmm")</f>
        <v>March</v>
      </c>
      <c r="C27" s="16">
        <f t="shared" si="0"/>
        <v>2025</v>
      </c>
      <c r="D27" s="17" t="str">
        <f ca="1">PROPER(Table1[[#This Row],[Region]])</f>
        <v>West</v>
      </c>
      <c r="E27" s="17" t="str">
        <f ca="1">PROPER(Table1[[#This Row],[Rep]])</f>
        <v>Sorvino</v>
      </c>
      <c r="F27" s="17" t="str">
        <f ca="1">PROPER(Table1[[#This Row],[Item]])</f>
        <v>Binder</v>
      </c>
      <c r="G27" s="18">
        <v>7</v>
      </c>
      <c r="H27" s="19">
        <v>19.99</v>
      </c>
      <c r="I27" s="20">
        <f>PRODUCT(Table1[[#This Row],[Units]],Table1[[#This Row],[Unit Cost]])</f>
        <v>139.93</v>
      </c>
      <c r="J27" s="21" t="str">
        <f t="shared" si="1"/>
        <v>Normal Value</v>
      </c>
      <c r="K27"/>
      <c r="L27"/>
      <c r="M27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14">
        <v>45740</v>
      </c>
      <c r="B28" s="15" t="str">
        <f>TEXT(Table1[[#This Row],[OrderDate]],"mmmm")</f>
        <v>March</v>
      </c>
      <c r="C28" s="16">
        <f t="shared" si="0"/>
        <v>2025</v>
      </c>
      <c r="D28" s="17" t="str">
        <f ca="1">PROPER(Table1[[#This Row],[Region]])</f>
        <v>Central</v>
      </c>
      <c r="E28" s="17" t="str">
        <f ca="1">PROPER(Table1[[#This Row],[Rep]])</f>
        <v>Jardine</v>
      </c>
      <c r="F28" s="17" t="str">
        <f ca="1">PROPER(Table1[[#This Row],[Item]])</f>
        <v>Pen Set</v>
      </c>
      <c r="G28" s="18">
        <v>50</v>
      </c>
      <c r="H28" s="19">
        <v>4.99</v>
      </c>
      <c r="I28" s="20">
        <f>PRODUCT(Table1[[#This Row],[Units]],Table1[[#This Row],[Unit Cost]])</f>
        <v>249.5</v>
      </c>
      <c r="J28" s="21" t="str">
        <f t="shared" si="1"/>
        <v>Normal Value</v>
      </c>
      <c r="K28"/>
      <c r="L28"/>
      <c r="M28"/>
      <c r="N28" s="22"/>
      <c r="O28" s="22"/>
      <c r="P28" s="22"/>
      <c r="Q28" s="22"/>
      <c r="R28" s="22"/>
      <c r="S28" s="22"/>
      <c r="T28" s="22"/>
      <c r="U28" s="22"/>
      <c r="V28" s="22"/>
    </row>
    <row r="29" spans="1:22">
      <c r="A29" s="14">
        <v>45757</v>
      </c>
      <c r="B29" s="15" t="str">
        <f>TEXT(Table1[[#This Row],[OrderDate]],"mmmm")</f>
        <v>April</v>
      </c>
      <c r="C29" s="16">
        <f t="shared" si="0"/>
        <v>2025</v>
      </c>
      <c r="D29" s="17" t="str">
        <f ca="1">PROPER(Table1[[#This Row],[Region]])</f>
        <v>Central</v>
      </c>
      <c r="E29" s="17" t="str">
        <f ca="1">PROPER(Table1[[#This Row],[Rep]])</f>
        <v>Andrews</v>
      </c>
      <c r="F29" s="17" t="str">
        <f ca="1">PROPER(Table1[[#This Row],[Item]])</f>
        <v>Pencil</v>
      </c>
      <c r="G29" s="18">
        <v>66</v>
      </c>
      <c r="H29" s="19">
        <v>1.99</v>
      </c>
      <c r="I29" s="20">
        <f>PRODUCT(Table1[[#This Row],[Units]],Table1[[#This Row],[Unit Cost]])</f>
        <v>131.34</v>
      </c>
      <c r="J29" s="21" t="str">
        <f t="shared" si="1"/>
        <v>Normal Value</v>
      </c>
      <c r="K29"/>
      <c r="L29"/>
      <c r="M29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14">
        <v>45774</v>
      </c>
      <c r="B30" s="15" t="str">
        <f>TEXT(Table1[[#This Row],[OrderDate]],"mmmm")</f>
        <v>April</v>
      </c>
      <c r="C30" s="16">
        <f t="shared" si="0"/>
        <v>2025</v>
      </c>
      <c r="D30" s="17" t="str">
        <f ca="1">PROPER(Table1[[#This Row],[Region]])</f>
        <v>East</v>
      </c>
      <c r="E30" s="17" t="str">
        <f ca="1">PROPER(Table1[[#This Row],[Rep]])</f>
        <v>Howard</v>
      </c>
      <c r="F30" s="17" t="str">
        <f ca="1">PROPER(Table1[[#This Row],[Item]])</f>
        <v>Pen</v>
      </c>
      <c r="G30" s="18">
        <v>96</v>
      </c>
      <c r="H30" s="19">
        <v>4.99</v>
      </c>
      <c r="I30" s="20">
        <f>PRODUCT(Table1[[#This Row],[Units]],Table1[[#This Row],[Unit Cost]])</f>
        <v>479.04</v>
      </c>
      <c r="J30" s="21" t="str">
        <f t="shared" si="1"/>
        <v>Normal Value</v>
      </c>
      <c r="K30" s="13" t="s">
        <v>58</v>
      </c>
      <c r="M30"/>
      <c r="N30" s="22"/>
      <c r="O30" s="22"/>
      <c r="P30" s="22"/>
      <c r="Q30" s="22"/>
      <c r="R30" s="22"/>
      <c r="S30" s="22"/>
      <c r="T30" s="22"/>
      <c r="U30" s="22"/>
      <c r="V30" s="22"/>
    </row>
    <row r="31" spans="1:22">
      <c r="A31" s="14">
        <v>45791</v>
      </c>
      <c r="B31" s="15" t="str">
        <f>TEXT(Table1[[#This Row],[OrderDate]],"mmmm")</f>
        <v>May</v>
      </c>
      <c r="C31" s="16">
        <f t="shared" si="0"/>
        <v>2025</v>
      </c>
      <c r="D31" s="17" t="str">
        <f ca="1">PROPER(Table1[[#This Row],[Region]])</f>
        <v>Central</v>
      </c>
      <c r="E31" s="17" t="str">
        <f ca="1">PROPER(Table1[[#This Row],[Rep]])</f>
        <v>Gill</v>
      </c>
      <c r="F31" s="17" t="str">
        <f ca="1">PROPER(Table1[[#This Row],[Item]])</f>
        <v>Pencil</v>
      </c>
      <c r="G31" s="18">
        <v>53</v>
      </c>
      <c r="H31" s="19">
        <v>1.29</v>
      </c>
      <c r="I31" s="20">
        <f>PRODUCT(Table1[[#This Row],[Units]],Table1[[#This Row],[Unit Cost]])</f>
        <v>68.37</v>
      </c>
      <c r="J31" s="21" t="str">
        <f t="shared" si="1"/>
        <v>Normal Value</v>
      </c>
      <c r="K31" t="s">
        <v>2</v>
      </c>
      <c r="L31" t="s">
        <v>31</v>
      </c>
      <c r="M31"/>
      <c r="N31" s="22"/>
      <c r="O31" s="22" t="s">
        <v>59</v>
      </c>
      <c r="P31" s="22"/>
      <c r="Q31" s="22"/>
      <c r="R31" s="22"/>
      <c r="S31" s="22"/>
      <c r="T31" s="22"/>
      <c r="U31" s="22"/>
      <c r="V31" s="22"/>
    </row>
    <row r="32" spans="1:22">
      <c r="A32" s="14">
        <v>45808</v>
      </c>
      <c r="B32" s="15" t="str">
        <f>TEXT(Table1[[#This Row],[OrderDate]],"mmmm")</f>
        <v>May</v>
      </c>
      <c r="C32" s="16">
        <f t="shared" si="0"/>
        <v>2025</v>
      </c>
      <c r="D32" s="17" t="str">
        <f ca="1">PROPER(Table1[[#This Row],[Region]])</f>
        <v>Central</v>
      </c>
      <c r="E32" s="17" t="str">
        <f ca="1">PROPER(Table1[[#This Row],[Rep]])</f>
        <v>Gill</v>
      </c>
      <c r="F32" s="17" t="str">
        <f ca="1">PROPER(Table1[[#This Row],[Item]])</f>
        <v>Binder</v>
      </c>
      <c r="G32" s="18">
        <v>80</v>
      </c>
      <c r="H32" s="19">
        <v>8.99</v>
      </c>
      <c r="I32" s="20">
        <f>PRODUCT(Table1[[#This Row],[Units]],Table1[[#This Row],[Unit Cost]])</f>
        <v>719.2</v>
      </c>
      <c r="J32" s="21" t="str">
        <f t="shared" si="1"/>
        <v>High Value</v>
      </c>
      <c r="K32" t="s">
        <v>19</v>
      </c>
      <c r="L32">
        <v>1203.11</v>
      </c>
      <c r="M32"/>
      <c r="N32" s="22"/>
      <c r="O32" s="22" t="s">
        <v>60</v>
      </c>
      <c r="P32" s="22"/>
      <c r="Q32" s="22"/>
      <c r="R32" s="22"/>
      <c r="S32" s="22"/>
      <c r="T32" s="22"/>
      <c r="U32" s="22"/>
      <c r="V32" s="22"/>
    </row>
    <row r="33" spans="1:22">
      <c r="A33" s="14">
        <v>45825</v>
      </c>
      <c r="B33" s="15" t="str">
        <f>TEXT(Table1[[#This Row],[OrderDate]],"mmmm")</f>
        <v>June</v>
      </c>
      <c r="C33" s="16">
        <f t="shared" si="0"/>
        <v>2025</v>
      </c>
      <c r="D33" s="17" t="str">
        <f ca="1">PROPER(Table1[[#This Row],[Region]])</f>
        <v>Central</v>
      </c>
      <c r="E33" s="17" t="str">
        <f ca="1">PROPER(Table1[[#This Row],[Rep]])</f>
        <v>Kivell</v>
      </c>
      <c r="F33" s="17" t="str">
        <f ca="1">PROPER(Table1[[#This Row],[Item]])</f>
        <v>Desk</v>
      </c>
      <c r="G33" s="18">
        <v>5</v>
      </c>
      <c r="H33" s="19">
        <v>125</v>
      </c>
      <c r="I33" s="20">
        <f>PRODUCT(Table1[[#This Row],[Units]],Table1[[#This Row],[Unit Cost]])</f>
        <v>625</v>
      </c>
      <c r="J33" s="21" t="str">
        <f t="shared" si="1"/>
        <v>High Value</v>
      </c>
      <c r="K33" t="s">
        <v>17</v>
      </c>
      <c r="L33">
        <v>1283.61</v>
      </c>
      <c r="M33"/>
      <c r="N33" s="22"/>
      <c r="O33" s="22" t="s">
        <v>61</v>
      </c>
      <c r="P33" s="22"/>
      <c r="Q33" s="22"/>
      <c r="R33" s="22"/>
      <c r="S33" s="22"/>
      <c r="T33" s="22"/>
      <c r="U33" s="22"/>
      <c r="V33" s="22"/>
    </row>
    <row r="34" spans="1:22">
      <c r="A34" s="14">
        <v>45842</v>
      </c>
      <c r="B34" s="15" t="str">
        <f>TEXT(Table1[[#This Row],[OrderDate]],"mmmm")</f>
        <v>July</v>
      </c>
      <c r="C34" s="16">
        <f t="shared" si="0"/>
        <v>2025</v>
      </c>
      <c r="D34" s="17" t="str">
        <f ca="1">PROPER(Table1[[#This Row],[Region]])</f>
        <v>East</v>
      </c>
      <c r="E34" s="17" t="str">
        <f ca="1">PROPER(Table1[[#This Row],[Rep]])</f>
        <v>Jones</v>
      </c>
      <c r="F34" s="17" t="str">
        <f ca="1">PROPER(Table1[[#This Row],[Item]])</f>
        <v>Pen Set</v>
      </c>
      <c r="G34" s="18">
        <v>62</v>
      </c>
      <c r="H34" s="19">
        <v>4.99</v>
      </c>
      <c r="I34" s="20">
        <f>PRODUCT(Table1[[#This Row],[Units]],Table1[[#This Row],[Unit Cost]])</f>
        <v>309.38</v>
      </c>
      <c r="J34" s="21" t="str">
        <f t="shared" si="1"/>
        <v>Normal Value</v>
      </c>
      <c r="K34" t="s">
        <v>23</v>
      </c>
      <c r="L34">
        <v>1641.43</v>
      </c>
      <c r="M34"/>
      <c r="N34" s="22"/>
      <c r="O34" s="22"/>
      <c r="P34" s="22"/>
      <c r="Q34" s="22"/>
      <c r="R34" s="22"/>
      <c r="S34" s="22"/>
      <c r="T34" s="22"/>
      <c r="U34" s="22"/>
      <c r="V34" s="22"/>
    </row>
    <row r="35" spans="1:22">
      <c r="A35" s="23">
        <v>45859</v>
      </c>
      <c r="B35" s="24" t="str">
        <f>TEXT(Table1[[#This Row],[OrderDate]],"mmmm")</f>
        <v>July</v>
      </c>
      <c r="C35" s="25">
        <f t="shared" si="0"/>
        <v>2025</v>
      </c>
      <c r="D35" s="26" t="s">
        <v>10</v>
      </c>
      <c r="E35" s="26" t="s">
        <v>20</v>
      </c>
      <c r="F35" s="26" t="s">
        <v>25</v>
      </c>
      <c r="G35" s="27">
        <v>55</v>
      </c>
      <c r="H35" s="27">
        <v>12.49</v>
      </c>
      <c r="I35" s="20">
        <f>PRODUCT(Table1[[#This Row],[Units]],Table1[[#This Row],[Unit Cost]])</f>
        <v>686.95</v>
      </c>
      <c r="J35" s="21" t="str">
        <f t="shared" si="1"/>
        <v>High Value</v>
      </c>
      <c r="K35" t="s">
        <v>22</v>
      </c>
      <c r="L35">
        <v>3102.3</v>
      </c>
      <c r="M35"/>
      <c r="N35" s="22"/>
      <c r="O35" s="22"/>
      <c r="P35" s="22"/>
      <c r="Q35" s="22"/>
      <c r="R35" s="22"/>
      <c r="S35" s="22"/>
      <c r="T35" s="22"/>
      <c r="U35" s="22"/>
      <c r="V35" s="22"/>
    </row>
    <row r="36" spans="1:22">
      <c r="A36" s="14">
        <v>45876</v>
      </c>
      <c r="B36" s="15" t="str">
        <f>TEXT(Table1[[#This Row],[OrderDate]],"mmmm")</f>
        <v>August</v>
      </c>
      <c r="C36" s="16">
        <f t="shared" si="0"/>
        <v>2025</v>
      </c>
      <c r="D36" s="17" t="str">
        <f ca="1">PROPER(Table1[[#This Row],[Region]])</f>
        <v>Central</v>
      </c>
      <c r="E36" s="17" t="str">
        <f ca="1">PROPER(Table1[[#This Row],[Rep]])</f>
        <v>Kivell</v>
      </c>
      <c r="F36" s="17" t="str">
        <f ca="1">PROPER(Table1[[#This Row],[Item]])</f>
        <v>Pen Set</v>
      </c>
      <c r="G36" s="18">
        <v>42</v>
      </c>
      <c r="H36" s="19">
        <v>23.95</v>
      </c>
      <c r="I36" s="20">
        <f>PRODUCT(Table1[[#This Row],[Units]],Table1[[#This Row],[Unit Cost]])</f>
        <v>1005.9</v>
      </c>
      <c r="J36" s="21" t="str">
        <f t="shared" si="1"/>
        <v>High Value</v>
      </c>
      <c r="K36" t="s">
        <v>20</v>
      </c>
      <c r="L36">
        <v>1387.77</v>
      </c>
      <c r="M36"/>
      <c r="N36" s="22"/>
      <c r="O36" s="22"/>
      <c r="P36" s="22"/>
      <c r="Q36" s="22"/>
      <c r="R36" s="22"/>
      <c r="S36" s="22"/>
      <c r="T36" s="22"/>
      <c r="U36" s="22"/>
      <c r="V36" s="22"/>
    </row>
    <row r="37" spans="1:22">
      <c r="A37" s="14">
        <v>45893</v>
      </c>
      <c r="B37" s="15" t="str">
        <f>TEXT(Table1[[#This Row],[OrderDate]],"mmmm")</f>
        <v>August</v>
      </c>
      <c r="C37" s="16">
        <f t="shared" si="0"/>
        <v>2025</v>
      </c>
      <c r="D37" s="17" t="str">
        <f ca="1">PROPER(Table1[[#This Row],[Region]])</f>
        <v>West</v>
      </c>
      <c r="E37" s="17" t="str">
        <f ca="1">PROPER(Table1[[#This Row],[Rep]])</f>
        <v>Sorvino</v>
      </c>
      <c r="F37" s="17" t="str">
        <f ca="1">PROPER(Table1[[#This Row],[Item]])</f>
        <v>Desk</v>
      </c>
      <c r="G37" s="18">
        <v>3</v>
      </c>
      <c r="H37" s="19">
        <v>275</v>
      </c>
      <c r="I37" s="20">
        <f>PRODUCT(Table1[[#This Row],[Units]],Table1[[#This Row],[Unit Cost]])</f>
        <v>825</v>
      </c>
      <c r="J37" s="21" t="str">
        <f t="shared" si="1"/>
        <v>High Value</v>
      </c>
      <c r="K37" t="s">
        <v>11</v>
      </c>
      <c r="L37">
        <v>3109.44</v>
      </c>
      <c r="M37"/>
      <c r="N37" s="22"/>
      <c r="O37" s="22"/>
      <c r="P37" s="22"/>
      <c r="Q37" s="22"/>
      <c r="R37" s="22"/>
      <c r="S37" s="22"/>
      <c r="T37" s="22"/>
      <c r="U37" s="22"/>
      <c r="V37" s="22"/>
    </row>
    <row r="38" spans="1:22">
      <c r="A38" s="14">
        <v>45910</v>
      </c>
      <c r="B38" s="15" t="str">
        <f>TEXT(Table1[[#This Row],[OrderDate]],"mmmm")</f>
        <v>September</v>
      </c>
      <c r="C38" s="16">
        <f t="shared" si="0"/>
        <v>2025</v>
      </c>
      <c r="D38" s="17" t="s">
        <v>10</v>
      </c>
      <c r="E38" s="17" t="str">
        <f ca="1">PROPER(Table1[[#This Row],[Rep]])</f>
        <v>Gill</v>
      </c>
      <c r="F38" s="17" t="str">
        <f ca="1">PROPER(Table1[[#This Row],[Item]])</f>
        <v>Pencil</v>
      </c>
      <c r="G38" s="18">
        <v>7</v>
      </c>
      <c r="H38" s="19">
        <v>1.29</v>
      </c>
      <c r="I38" s="20">
        <f>PRODUCT(Table1[[#This Row],[Units]],Table1[[#This Row],[Unit Cost]])</f>
        <v>9.03</v>
      </c>
      <c r="J38" s="21" t="str">
        <f t="shared" si="1"/>
        <v>Normal Value</v>
      </c>
      <c r="K38" t="s">
        <v>8</v>
      </c>
      <c r="L38">
        <v>2363.04</v>
      </c>
      <c r="M38"/>
      <c r="N38" s="22"/>
      <c r="O38" s="22"/>
      <c r="P38" s="22"/>
      <c r="Q38" s="22"/>
      <c r="R38" s="22"/>
      <c r="S38" s="22"/>
      <c r="T38" s="22"/>
      <c r="U38" s="22"/>
      <c r="V38" s="22"/>
    </row>
    <row r="39" spans="1:22">
      <c r="A39" s="14">
        <v>45927</v>
      </c>
      <c r="B39" s="15" t="str">
        <f>TEXT(Table1[[#This Row],[OrderDate]],"mmmm")</f>
        <v>September</v>
      </c>
      <c r="C39" s="16">
        <f t="shared" si="0"/>
        <v>2025</v>
      </c>
      <c r="D39" s="17" t="str">
        <f ca="1">PROPER(Table1[[#This Row],[Region]])</f>
        <v>West</v>
      </c>
      <c r="E39" s="17" t="str">
        <f ca="1">PROPER(Table1[[#This Row],[Rep]])</f>
        <v>Sorvino</v>
      </c>
      <c r="F39" s="17" t="str">
        <f ca="1">PROPER(Table1[[#This Row],[Item]])</f>
        <v>Pen</v>
      </c>
      <c r="G39" s="18">
        <v>76</v>
      </c>
      <c r="H39" s="19">
        <v>1.99</v>
      </c>
      <c r="I39" s="20">
        <f>PRODUCT(Table1[[#This Row],[Units]],Table1[[#This Row],[Unit Cost]])</f>
        <v>151.24</v>
      </c>
      <c r="J39" s="21" t="str">
        <f t="shared" si="1"/>
        <v>Normal Value</v>
      </c>
      <c r="K39" t="s">
        <v>13</v>
      </c>
      <c r="L39">
        <v>2812.19</v>
      </c>
      <c r="M39"/>
      <c r="N39" s="22"/>
      <c r="O39" s="22"/>
      <c r="P39" s="22"/>
      <c r="Q39" s="22"/>
      <c r="R39" s="22"/>
      <c r="S39" s="22"/>
      <c r="T39" s="22"/>
      <c r="U39" s="22"/>
      <c r="V39" s="22"/>
    </row>
    <row r="40" spans="1:22">
      <c r="A40" s="14">
        <v>45944</v>
      </c>
      <c r="B40" s="15" t="str">
        <f>TEXT(Table1[[#This Row],[OrderDate]],"mmmm")</f>
        <v>October</v>
      </c>
      <c r="C40" s="16">
        <f t="shared" si="0"/>
        <v>2025</v>
      </c>
      <c r="D40" s="17" t="str">
        <f ca="1">PROPER(Table1[[#This Row],[Region]])</f>
        <v>West</v>
      </c>
      <c r="E40" s="17" t="str">
        <f ca="1">PROPER(Table1[[#This Row],[Rep]])</f>
        <v>Thompson</v>
      </c>
      <c r="F40" s="17" t="str">
        <f ca="1">PROPER(Table1[[#This Row],[Item]])</f>
        <v>Binder</v>
      </c>
      <c r="G40" s="18">
        <v>57</v>
      </c>
      <c r="H40" s="19">
        <v>19.99</v>
      </c>
      <c r="I40" s="20">
        <f>PRODUCT(Table1[[#This Row],[Units]],Table1[[#This Row],[Unit Cost]])</f>
        <v>1139.43</v>
      </c>
      <c r="J40" s="21" t="str">
        <f t="shared" si="1"/>
        <v>High Value</v>
      </c>
      <c r="K40" t="s">
        <v>21</v>
      </c>
      <c r="L40">
        <v>536.75</v>
      </c>
      <c r="M40"/>
      <c r="N40" s="22"/>
      <c r="O40" s="22"/>
      <c r="P40" s="22"/>
      <c r="Q40" s="22"/>
      <c r="R40" s="22"/>
      <c r="S40" s="22"/>
      <c r="T40" s="22"/>
      <c r="U40" s="22"/>
      <c r="V40" s="22"/>
    </row>
    <row r="41" spans="1:22">
      <c r="A41" s="14">
        <v>45961</v>
      </c>
      <c r="B41" s="15" t="str">
        <f>TEXT(Table1[[#This Row],[OrderDate]],"mmmm")</f>
        <v>October</v>
      </c>
      <c r="C41" s="16">
        <f t="shared" si="0"/>
        <v>2025</v>
      </c>
      <c r="D41" s="17" t="str">
        <f ca="1">PROPER(Table1[[#This Row],[Region]])</f>
        <v>Central</v>
      </c>
      <c r="E41" s="17" t="str">
        <f ca="1">PROPER(Table1[[#This Row],[Rep]])</f>
        <v>Andrews</v>
      </c>
      <c r="F41" s="17" t="str">
        <f ca="1">PROPER(Table1[[#This Row],[Item]])</f>
        <v>Pencil</v>
      </c>
      <c r="G41" s="18">
        <v>14</v>
      </c>
      <c r="H41" s="19">
        <v>1.29</v>
      </c>
      <c r="I41" s="20">
        <f>PRODUCT(Table1[[#This Row],[Units]],Table1[[#This Row],[Unit Cost]])</f>
        <v>18.06</v>
      </c>
      <c r="J41" s="21" t="str">
        <f t="shared" si="1"/>
        <v>Normal Value</v>
      </c>
      <c r="K41" t="s">
        <v>14</v>
      </c>
      <c r="L41">
        <v>1749.87</v>
      </c>
      <c r="M41"/>
      <c r="N41" s="22"/>
      <c r="O41" s="22"/>
      <c r="P41" s="22"/>
      <c r="Q41" s="22"/>
      <c r="R41" s="22"/>
      <c r="S41" s="22"/>
      <c r="T41" s="22"/>
      <c r="U41" s="22"/>
      <c r="V41" s="22"/>
    </row>
    <row r="42" spans="1:22">
      <c r="A42" s="14">
        <v>45978</v>
      </c>
      <c r="B42" s="15" t="str">
        <f>TEXT(Table1[[#This Row],[OrderDate]],"mmmm")</f>
        <v>November</v>
      </c>
      <c r="C42" s="16">
        <f t="shared" si="0"/>
        <v>2025</v>
      </c>
      <c r="D42" s="17" t="str">
        <f ca="1">PROPER(Table1[[#This Row],[Region]])</f>
        <v>Central</v>
      </c>
      <c r="E42" s="17" t="str">
        <f ca="1">PROPER(Table1[[#This Row],[Rep]])</f>
        <v>Jardine</v>
      </c>
      <c r="F42" s="17" t="str">
        <f ca="1">PROPER(Table1[[#This Row],[Item]])</f>
        <v>Binder</v>
      </c>
      <c r="G42" s="18">
        <v>11</v>
      </c>
      <c r="H42" s="19">
        <v>4.99</v>
      </c>
      <c r="I42" s="20">
        <f>PRODUCT(Table1[[#This Row],[Units]],Table1[[#This Row],[Unit Cost]])</f>
        <v>54.89</v>
      </c>
      <c r="J42" s="21" t="str">
        <f t="shared" si="1"/>
        <v>Normal Value</v>
      </c>
      <c r="K42" t="s">
        <v>18</v>
      </c>
      <c r="L42">
        <v>578.09</v>
      </c>
      <c r="M42"/>
      <c r="N42" s="22"/>
      <c r="O42" s="22"/>
      <c r="P42" s="22"/>
      <c r="Q42" s="22"/>
      <c r="R42" s="22"/>
      <c r="S42" s="22"/>
      <c r="T42" s="22"/>
      <c r="U42" s="22"/>
      <c r="V42" s="22"/>
    </row>
    <row r="43" spans="1:22">
      <c r="A43" s="14">
        <v>45995</v>
      </c>
      <c r="B43" s="15" t="str">
        <f>TEXT(Table1[[#This Row],[OrderDate]],"mmmm")</f>
        <v>December</v>
      </c>
      <c r="C43" s="16">
        <f t="shared" si="0"/>
        <v>2025</v>
      </c>
      <c r="D43" s="17" t="str">
        <f ca="1">PROPER(Table1[[#This Row],[Region]])</f>
        <v>Central</v>
      </c>
      <c r="E43" s="17" t="str">
        <f ca="1">PROPER(Table1[[#This Row],[Rep]])</f>
        <v>Jardine</v>
      </c>
      <c r="F43" s="17" t="str">
        <f ca="1">PROPER(Table1[[#This Row],[Item]])</f>
        <v>Binder</v>
      </c>
      <c r="G43" s="18">
        <v>94</v>
      </c>
      <c r="H43" s="19">
        <v>19.99</v>
      </c>
      <c r="I43" s="20">
        <f>PRODUCT(Table1[[#This Row],[Units]],Table1[[#This Row],[Unit Cost]])</f>
        <v>1879.06</v>
      </c>
      <c r="J43" s="21" t="str">
        <f t="shared" si="1"/>
        <v>High Value</v>
      </c>
      <c r="K43" t="s">
        <v>52</v>
      </c>
      <c r="L43">
        <v>19767.6</v>
      </c>
      <c r="M43"/>
      <c r="N43" s="22"/>
      <c r="O43" s="22"/>
      <c r="P43" s="22"/>
      <c r="Q43" s="22"/>
      <c r="R43" s="22"/>
      <c r="S43" s="22"/>
      <c r="T43" s="22"/>
      <c r="U43" s="22"/>
      <c r="V43" s="22"/>
    </row>
    <row r="44" hidden="1" spans="1:22">
      <c r="A44" s="28">
        <v>46012</v>
      </c>
      <c r="B44" s="29" t="str">
        <f>TEXT(Table1[[#This Row],[OrderDate]],"mmmm")</f>
        <v>December</v>
      </c>
      <c r="C44" s="30">
        <f t="shared" si="0"/>
        <v>2025</v>
      </c>
      <c r="D44" s="31" t="s">
        <v>10</v>
      </c>
      <c r="E44" s="31" t="s">
        <v>18</v>
      </c>
      <c r="F44" s="31" t="s">
        <v>12</v>
      </c>
      <c r="G44" s="32">
        <v>28</v>
      </c>
      <c r="H44" s="33">
        <v>4.99</v>
      </c>
      <c r="I44" s="34">
        <f>PRODUCT(Table1[[#This Row],[Units]],Table1[[#This Row],[Unit Cost]])</f>
        <v>139.72</v>
      </c>
      <c r="J44" s="7" t="str">
        <f t="shared" si="1"/>
        <v>Normal Value</v>
      </c>
      <c r="K44"/>
      <c r="L44"/>
      <c r="M44"/>
      <c r="N44" s="22"/>
      <c r="O44" s="22"/>
      <c r="P44" s="22"/>
      <c r="Q44" s="22"/>
      <c r="R44" s="22"/>
      <c r="S44" s="22"/>
      <c r="T44" s="22"/>
      <c r="U44" s="22"/>
      <c r="V44" s="22"/>
    </row>
    <row r="45" ht="19" customHeight="1" spans="1:22">
      <c r="A45" s="35">
        <v>46012</v>
      </c>
      <c r="B45" s="24" t="str">
        <f>TEXT(Table1[[#This Row],[OrderDate]],"mmmm")</f>
        <v>December</v>
      </c>
      <c r="C45" s="25">
        <f t="shared" si="0"/>
        <v>2025</v>
      </c>
      <c r="D45" s="36" t="s">
        <v>10</v>
      </c>
      <c r="E45" s="36" t="s">
        <v>18</v>
      </c>
      <c r="F45" s="36" t="s">
        <v>12</v>
      </c>
      <c r="G45" s="37">
        <v>28</v>
      </c>
      <c r="H45" s="37">
        <v>4.99</v>
      </c>
      <c r="I45" s="20">
        <f>PRODUCT(Table1[[#This Row],[Units]],Table1[[#This Row],[Unit Cost]])</f>
        <v>139.72</v>
      </c>
      <c r="J45" s="21" t="str">
        <f t="shared" si="1"/>
        <v>Normal Value</v>
      </c>
      <c r="K45" s="13" t="s">
        <v>62</v>
      </c>
      <c r="N45" s="22"/>
      <c r="O45" s="22"/>
      <c r="P45" s="22"/>
      <c r="Q45" s="22"/>
      <c r="R45" s="22"/>
      <c r="S45" s="22"/>
      <c r="T45" s="22"/>
      <c r="U45" s="22"/>
      <c r="V45" s="22"/>
    </row>
    <row r="46" spans="1:22">
      <c r="A46" t="s">
        <v>63</v>
      </c>
      <c r="B46" t="s">
        <v>64</v>
      </c>
      <c r="C46" t="s">
        <v>65</v>
      </c>
      <c r="D46" t="s">
        <v>66</v>
      </c>
      <c r="E46" t="s">
        <v>67</v>
      </c>
      <c r="F46" t="s">
        <v>68</v>
      </c>
      <c r="G46" t="s">
        <v>69</v>
      </c>
      <c r="H46" t="s">
        <v>70</v>
      </c>
      <c r="I46" t="s">
        <v>71</v>
      </c>
      <c r="K46" t="s">
        <v>1</v>
      </c>
      <c r="L46" t="s">
        <v>72</v>
      </c>
      <c r="M46" t="s">
        <v>31</v>
      </c>
      <c r="N46" s="22"/>
      <c r="O46" s="22" t="s">
        <v>73</v>
      </c>
      <c r="P46" s="22"/>
      <c r="Q46" s="22"/>
      <c r="R46" s="22"/>
      <c r="S46" s="22"/>
      <c r="T46" s="22"/>
      <c r="U46" s="22"/>
      <c r="V46" s="22"/>
    </row>
    <row r="47" spans="1:22">
      <c r="A47" s="38" t="s">
        <v>6</v>
      </c>
      <c r="D47" s="39"/>
      <c r="E47" s="39"/>
      <c r="F47" s="39"/>
      <c r="G47" s="40">
        <f>SUM(G2:G45)</f>
        <v>2149</v>
      </c>
      <c r="H47" s="41"/>
      <c r="I47" s="42">
        <f>SUM(I2:I44)</f>
        <v>19627.88</v>
      </c>
      <c r="K47" t="s">
        <v>16</v>
      </c>
      <c r="L47" s="43">
        <v>0.125797770088428</v>
      </c>
      <c r="M47">
        <v>2486.72</v>
      </c>
      <c r="N47" s="22"/>
      <c r="O47" s="22" t="s">
        <v>74</v>
      </c>
      <c r="P47" s="22"/>
      <c r="Q47" s="22"/>
      <c r="R47" s="22"/>
      <c r="S47" s="22"/>
      <c r="T47" s="22"/>
      <c r="U47" s="22"/>
      <c r="V47" s="22"/>
    </row>
    <row r="48" spans="1:22">
      <c r="A48" s="38" t="s">
        <v>75</v>
      </c>
      <c r="D48" s="39"/>
      <c r="E48" s="39"/>
      <c r="F48" s="39"/>
      <c r="G48" s="40"/>
      <c r="H48" s="41"/>
      <c r="I48" s="44">
        <f>AVERAGE(I2:I45)</f>
        <v>449.263636363637</v>
      </c>
      <c r="K48" t="s">
        <v>7</v>
      </c>
      <c r="L48" s="43">
        <v>0.303632712114774</v>
      </c>
      <c r="M48">
        <v>6002.09</v>
      </c>
      <c r="N48" s="22"/>
      <c r="O48" s="22" t="s">
        <v>76</v>
      </c>
      <c r="P48" s="22"/>
      <c r="Q48" s="22"/>
      <c r="R48" s="22"/>
      <c r="S48" s="22"/>
      <c r="T48" s="22"/>
      <c r="U48" s="22"/>
      <c r="V48" s="22"/>
    </row>
    <row r="49" spans="1:22">
      <c r="A49" s="38" t="s">
        <v>77</v>
      </c>
      <c r="D49" s="39"/>
      <c r="E49" s="39"/>
      <c r="F49" s="39"/>
      <c r="G49" s="40"/>
      <c r="H49" s="41"/>
      <c r="I49" s="45">
        <f>MAX(I2:I44)</f>
        <v>1879.06</v>
      </c>
      <c r="K49" t="s">
        <v>10</v>
      </c>
      <c r="L49" s="43">
        <v>0.570569517796799</v>
      </c>
      <c r="M49">
        <v>11278.79</v>
      </c>
      <c r="N49" s="22"/>
      <c r="O49" s="22" t="s">
        <v>78</v>
      </c>
      <c r="P49" s="22"/>
      <c r="Q49" s="22"/>
      <c r="R49" s="22"/>
      <c r="S49" s="22"/>
      <c r="T49" s="22"/>
      <c r="U49" s="22"/>
      <c r="V49" s="22"/>
    </row>
    <row r="50" spans="1:22">
      <c r="A50" s="38" t="s">
        <v>79</v>
      </c>
      <c r="D50" s="39"/>
      <c r="E50" s="39"/>
      <c r="F50" s="39"/>
      <c r="G50" s="40"/>
      <c r="H50" s="41"/>
      <c r="I50" s="46">
        <f>MIN(I2:I44)</f>
        <v>9.03</v>
      </c>
      <c r="K50" t="s">
        <v>52</v>
      </c>
      <c r="L50" s="43">
        <v>1</v>
      </c>
      <c r="M50">
        <v>19767.6</v>
      </c>
      <c r="N50" s="22"/>
      <c r="O50" s="22" t="s">
        <v>80</v>
      </c>
      <c r="P50" s="22"/>
      <c r="Q50" s="22"/>
      <c r="R50" s="22"/>
      <c r="S50" s="22"/>
      <c r="T50" s="22"/>
      <c r="U50" s="22"/>
      <c r="V50" s="22"/>
    </row>
    <row r="51" spans="1:22">
      <c r="A51" s="38"/>
      <c r="B51" s="47"/>
      <c r="C51" s="47"/>
      <c r="D51" s="48"/>
      <c r="E51" s="48"/>
      <c r="F51" s="48"/>
      <c r="G51" s="40"/>
      <c r="H51" s="41"/>
      <c r="K51"/>
      <c r="L51"/>
      <c r="M51"/>
      <c r="N51"/>
      <c r="O51"/>
      <c r="P51"/>
    </row>
    <row r="52" spans="1:22">
      <c r="A52" s="38" t="s">
        <v>81</v>
      </c>
      <c r="B52" s="47"/>
      <c r="C52" s="47"/>
      <c r="D52" s="48"/>
      <c r="E52" s="5"/>
      <c r="F52" s="48"/>
      <c r="G52" s="40"/>
      <c r="H52" s="41"/>
      <c r="I52" s="49">
        <f>COUNTIF(J2:J45,"High Value")</f>
        <v>14</v>
      </c>
      <c r="J52" s="50"/>
      <c r="O52"/>
      <c r="P52"/>
    </row>
    <row r="53" ht="22" customHeight="1" spans="1:22">
      <c r="A53" s="38" t="s">
        <v>82</v>
      </c>
      <c r="B53" s="47"/>
      <c r="C53" s="47"/>
      <c r="D53" s="48"/>
      <c r="E53" s="48"/>
      <c r="F53" s="48"/>
      <c r="G53" s="40"/>
      <c r="H53" s="41"/>
      <c r="I53" s="51">
        <f>COUNTIF(J2:J45,"Normal Value")</f>
        <v>30</v>
      </c>
      <c r="O53"/>
      <c r="P53"/>
    </row>
    <row r="54" spans="1:22">
      <c r="A54" s="38" t="s">
        <v>83</v>
      </c>
      <c r="B54" s="47"/>
      <c r="C54" s="47"/>
      <c r="D54" s="48"/>
      <c r="E54" s="48"/>
      <c r="F54" s="48"/>
      <c r="H54" s="41"/>
      <c r="I54" s="5">
        <f>SUMIF(J2:J45,"High Value",I2:I45)</f>
        <v>13641.98</v>
      </c>
      <c r="O54"/>
      <c r="P54"/>
    </row>
  </sheetData>
  <conditionalFormatting sqref="J1:J51 G54 J56:J1048576 J53:J54">
    <cfRule type="containsText" dxfId="16" priority="1" operator="between" text="Normal Value">
      <formula>NOT(ISERROR(SEARCH("Normal Value",G1)))</formula>
    </cfRule>
    <cfRule type="containsText" dxfId="17" priority="2" operator="between" text="High Value">
      <formula>NOT(ISERROR(SEARCH("High Value",G1)))</formula>
    </cfRule>
  </conditionalFormatting>
  <pageMargins left="0.7" right="0.7" top="0.75" bottom="0.75" header="0.3" footer="0.3"/>
  <headerFooter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Original_Dataset</vt:lpstr>
      <vt:lpstr>CopyOfSalesDataset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Edwardsantos Ochieng</dc:creator>
  <cp:lastModifiedBy>Hp</cp:lastModifiedBy>
  <dcterms:created xsi:type="dcterms:W3CDTF">2026-03-29T17:13:00Z</dcterms:created>
  <dcterms:modified xsi:type="dcterms:W3CDTF">2026-04-03T09:06:18Z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1A5B7BF099174FC886476E1DCC7014A8_13</vt:lpwstr>
  </property>
</Properties>
</file>