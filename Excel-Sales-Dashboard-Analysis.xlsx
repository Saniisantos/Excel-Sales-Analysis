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Dashboard" sheetId="1" r:id="rId1"/>
  </sheets>
  <externalReferences>
    <externalReference r:id="rId8"/>
  </externalReferences>
  <definedNames>
    <definedName name="Slicer_Region">#N/A</definedName>
    <definedName name="Slicer_Item">#N/A</definedName>
    <definedName name="Slicer_Rep">#N/A</definedName>
    <definedName name="Slicer_Monthly">#N/A</definedName>
    <definedName name="Slicer_Order_Cartegory">#N/A</definedName>
  </definedNames>
  <calcPr calcId="191029"/>
  <extLst>
    <ext xmlns:x14="http://schemas.microsoft.com/office/spreadsheetml/2009/9/main" uri="{876F7934-8845-4945-9796-88D515C7AA90}">
      <x14:pivotCaches>
        <pivotCache cacheId="0" r:id="rId2"/>
      </x14:pivotCaches>
    </ex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  <x14:slicerCache r:id="rId4"/>
        <x14:slicerCache r:id="rId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<sst xmlns="http://schemas.openxmlformats.org/spreadsheetml/2006/main" count="9" uniqueCount="9">
  <si>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Total Revenue</t>
  </si>
  <si>
    <t>Average Sale</t>
  </si>
  <si>
    <t>Minimum</t>
  </si>
  <si>
    <t>Total Units Sold</t>
  </si>
  <si>
    <t>Maximum Sale</t>
  </si>
  <si>
    <t xml:space="preserve">Product Sales </t>
  </si>
  <si>
    <t>Regional Sales</t>
  </si>
  <si>
    <t>Monthly Trend</t>
  </si>
  <si>
    <t>Sales Rep Performance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</si>
</sst>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theme="8" tint="-0.5"/>
      <name val="Calibri"/>
      <charset val="134"/>
      <scheme val="minor"/>
    </font>
    <font>
      <b/>
      <sz val="14"/>
      <color theme="8" tint="-0.5"/>
      <name val="Calibri"/>
      <charset val="134"/>
    </font>
    <font>
      <b/>
      <u/>
      <sz val="16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" fontId="2" fillId="2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1" fontId="2" fillId="2" borderId="2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microsoft.com/office/2007/relationships/slicerCache" Target="slicerCaches/slicerCache5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3" Type="http://schemas.microsoft.com/office/2007/relationships/slicerCache" Target="slicerCaches/slicerCache1.xml"/><Relationship Id="rId2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00B050"/>
                </a:solidFill>
              </a:rPr>
              <a:t>Total Revenue By Region</a:t>
            </a:r>
            <a:endParaRPr b="1">
              <a:solidFill>
                <a:srgbClr val="00B05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764983329267"/>
          <c:y val="0.19814358780072"/>
          <c:w val="0.573180450516386"/>
          <c:h val="0.612691797688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"Sum of Total (Ksh)2"</c:f>
              <c:strCache>
                <c:ptCount val="1"/>
                <c:pt idx="0">
                  <c:v>Sum of Total (Ksh)2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{"West","East","Central"}</c:f>
              <c:strCache>
                <c:ptCount val="3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</c:strCache>
            </c:strRef>
          </c:cat>
          <c:val>
            <c:numRef>
              <c:f>{0.125797770088428,0.303632712114774,0.570569517796799}</c:f>
              <c:numCache>
                <c:formatCode>General</c:formatCode>
                <c:ptCount val="3"/>
                <c:pt idx="0">
                  <c:v>0.125797770088428</c:v>
                </c:pt>
                <c:pt idx="1">
                  <c:v>0.303632712114774</c:v>
                </c:pt>
                <c:pt idx="2">
                  <c:v>0.570569517796799</c:v>
                </c:pt>
              </c:numCache>
            </c:numRef>
          </c:val>
        </c:ser>
        <c:ser>
          <c:idx val="1"/>
          <c:order val="1"/>
          <c:tx>
            <c:strRef>
              <c:f>"Sum of Total (Ksh)"</c:f>
              <c:strCache>
                <c:ptCount val="1"/>
                <c:pt idx="0">
                  <c:v>Sum of Total (Ksh)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{"West","East","Central"}</c:f>
              <c:strCache>
                <c:ptCount val="3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</c:strCache>
            </c:strRef>
          </c:cat>
          <c:val>
            <c:numRef>
              <c:f>{2486.72,6002.09,11278.79}</c:f>
              <c:numCache>
                <c:formatCode>General</c:formatCode>
                <c:ptCount val="3"/>
                <c:pt idx="0">
                  <c:v>2486.72</c:v>
                </c:pt>
                <c:pt idx="1">
                  <c:v>6002.09</c:v>
                </c:pt>
                <c:pt idx="2">
                  <c:v>11278.79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4482292"/>
        <c:axId val="394453694"/>
      </c:barChart>
      <c:catAx>
        <c:axId val="4344822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rgbClr val="00B050"/>
                    </a:solidFill>
                  </a:rPr>
                  <a:t>Region</a:t>
                </a:r>
                <a:endParaRPr sz="1200" b="1">
                  <a:solidFill>
                    <a:srgbClr val="00B05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394453694"/>
        <c:crosses val="autoZero"/>
        <c:auto val="1"/>
        <c:lblAlgn val="ctr"/>
        <c:lblOffset val="100"/>
        <c:noMultiLvlLbl val="0"/>
      </c:catAx>
      <c:valAx>
        <c:axId val="39445369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solidFill>
                      <a:srgbClr val="00B050"/>
                    </a:solidFill>
                  </a:rPr>
                  <a:t>Total</a:t>
                </a:r>
                <a:endParaRPr sz="1400" b="1">
                  <a:solidFill>
                    <a:srgbClr val="00B05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72133301126077"/>
              <c:y val="0.9247963629475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4344822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7597a5-d13b-4756-b676-d8ff4a30c9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rgbClr val="00B050"/>
          </a:solidFill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{"Binder","Desk","Pen","Pen Set","Pencil"}</c:f>
              <c:strCache>
                <c:ptCount val="5"/>
                <c:pt idx="0">
                  <c:v>Binder</c:v>
                </c:pt>
                <c:pt idx="1">
                  <c:v>Desk</c:v>
                </c:pt>
                <c:pt idx="2">
                  <c:v>Pen</c:v>
                </c:pt>
                <c:pt idx="3">
                  <c:v>Pen Set</c:v>
                </c:pt>
                <c:pt idx="4">
                  <c:v>Pencil</c:v>
                </c:pt>
              </c:strCache>
            </c:strRef>
          </c:cat>
          <c:val>
            <c:numRef>
              <c:f>{9717.37,1700,2045.22,4169.87,2135.14}</c:f>
              <c:numCache>
                <c:formatCode>General</c:formatCode>
                <c:ptCount val="5"/>
                <c:pt idx="0">
                  <c:v>9717.37</c:v>
                </c:pt>
                <c:pt idx="1">
                  <c:v>1700</c:v>
                </c:pt>
                <c:pt idx="2">
                  <c:v>2045.22</c:v>
                </c:pt>
                <c:pt idx="3">
                  <c:v>4169.87</c:v>
                </c:pt>
                <c:pt idx="4">
                  <c:v>2135.14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3775819"/>
        <c:axId val="627103609"/>
      </c:barChart>
      <c:catAx>
        <c:axId val="7537758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chemeClr val="accent1"/>
                    </a:solidFill>
                  </a:rPr>
                  <a:t>Item</a:t>
                </a:r>
                <a:endParaRPr sz="1200"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627103609"/>
        <c:crosses val="autoZero"/>
        <c:auto val="1"/>
        <c:lblAlgn val="ctr"/>
        <c:lblOffset val="100"/>
        <c:noMultiLvlLbl val="0"/>
      </c:catAx>
      <c:valAx>
        <c:axId val="6271036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Total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7537758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270955-b5df-4334-a469-40816e4663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00B050"/>
          </a:solidFill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00B050"/>
                </a:solidFill>
              </a:rPr>
              <a:t>Total Revenue By Month</a:t>
            </a:r>
            <a:endParaRPr b="1">
              <a:solidFill>
                <a:srgbClr val="00B05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{"Binder","Desk","Pen","Pen Set","Pencil"}</c:f>
              <c:strCache>
                <c:ptCount val="5"/>
                <c:pt idx="0">
                  <c:v>Binder</c:v>
                </c:pt>
                <c:pt idx="1">
                  <c:v>Desk</c:v>
                </c:pt>
                <c:pt idx="2">
                  <c:v>Pen</c:v>
                </c:pt>
                <c:pt idx="3">
                  <c:v>Pen Set</c:v>
                </c:pt>
                <c:pt idx="4">
                  <c:v>Pencil</c:v>
                </c:pt>
              </c:strCache>
            </c:strRef>
          </c:cat>
          <c:val>
            <c:numRef>
              <c:f>{9717.37,1700,2045.22,4169.87,2135.14}</c:f>
              <c:numCache>
                <c:formatCode>General</c:formatCode>
                <c:ptCount val="5"/>
                <c:pt idx="0">
                  <c:v>9717.37</c:v>
                </c:pt>
                <c:pt idx="1">
                  <c:v>1700</c:v>
                </c:pt>
                <c:pt idx="2">
                  <c:v>2045.22</c:v>
                </c:pt>
                <c:pt idx="3">
                  <c:v>4169.87</c:v>
                </c:pt>
                <c:pt idx="4">
                  <c:v>2135.14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998113"/>
        <c:axId val="310677228"/>
      </c:lineChart>
      <c:catAx>
        <c:axId val="5099981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70C0"/>
                    </a:solidFill>
                  </a:rPr>
                  <a:t>Month</a:t>
                </a:r>
                <a:endParaRPr b="1">
                  <a:solidFill>
                    <a:srgbClr val="0070C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310677228"/>
        <c:crosses val="autoZero"/>
        <c:auto val="1"/>
        <c:lblAlgn val="ctr"/>
        <c:lblOffset val="100"/>
        <c:noMultiLvlLbl val="0"/>
      </c:catAx>
      <c:valAx>
        <c:axId val="3106772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70C0"/>
                    </a:solidFill>
                  </a:rPr>
                  <a:t>Total</a:t>
                </a:r>
                <a:endParaRPr b="1">
                  <a:solidFill>
                    <a:srgbClr val="0070C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509998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035cfc-912e-4769-9f81-dc03344d5f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rgbClr val="00B050"/>
          </a:solidFill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{"Thompson","Sorvino","Smith","Parent","Morgan","Kivell","Jones","Jardine","Howard","Gill","Andrews"}</c:f>
              <c:strCache>
                <c:ptCount val="11"/>
                <c:pt idx="0">
                  <c:v>Thompson</c:v>
                </c:pt>
                <c:pt idx="1">
                  <c:v>Sorvino</c:v>
                </c:pt>
                <c:pt idx="2">
                  <c:v>Smith</c:v>
                </c:pt>
                <c:pt idx="3">
                  <c:v>Parent</c:v>
                </c:pt>
                <c:pt idx="4">
                  <c:v>Morgan</c:v>
                </c:pt>
                <c:pt idx="5">
                  <c:v>Kivell</c:v>
                </c:pt>
                <c:pt idx="6">
                  <c:v>Jones</c:v>
                </c:pt>
                <c:pt idx="7">
                  <c:v>Jardine</c:v>
                </c:pt>
                <c:pt idx="8">
                  <c:v>Howard</c:v>
                </c:pt>
                <c:pt idx="9">
                  <c:v>Gill</c:v>
                </c:pt>
                <c:pt idx="10">
                  <c:v>Andrews</c:v>
                </c:pt>
              </c:strCache>
            </c:strRef>
          </c:cat>
          <c:val>
            <c:numRef>
              <c:f>{1203.11,1283.61,1641.43,3102.3,1387.77,3109.44,2363.04,2812.19,536.75,1749.87,578.09}</c:f>
              <c:numCache>
                <c:formatCode>General</c:formatCode>
                <c:ptCount val="11"/>
                <c:pt idx="0">
                  <c:v>1203.11</c:v>
                </c:pt>
                <c:pt idx="1">
                  <c:v>1283.61</c:v>
                </c:pt>
                <c:pt idx="2">
                  <c:v>1641.43</c:v>
                </c:pt>
                <c:pt idx="3">
                  <c:v>3102.3</c:v>
                </c:pt>
                <c:pt idx="4">
                  <c:v>1387.77</c:v>
                </c:pt>
                <c:pt idx="5">
                  <c:v>3109.44</c:v>
                </c:pt>
                <c:pt idx="6">
                  <c:v>2363.04</c:v>
                </c:pt>
                <c:pt idx="7">
                  <c:v>2812.19</c:v>
                </c:pt>
                <c:pt idx="8">
                  <c:v>536.75</c:v>
                </c:pt>
                <c:pt idx="9">
                  <c:v>1749.87</c:v>
                </c:pt>
                <c:pt idx="10">
                  <c:v>578.09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23325126"/>
        <c:axId val="977990726"/>
      </c:barChart>
      <c:catAx>
        <c:axId val="72332512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70C0"/>
                    </a:solidFill>
                  </a:rPr>
                  <a:t>Name</a:t>
                </a:r>
                <a:endParaRPr b="1">
                  <a:solidFill>
                    <a:srgbClr val="0070C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977990726"/>
        <c:crosses val="autoZero"/>
        <c:auto val="1"/>
        <c:lblAlgn val="ctr"/>
        <c:lblOffset val="100"/>
        <c:noMultiLvlLbl val="0"/>
      </c:catAx>
      <c:valAx>
        <c:axId val="9779907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70C0"/>
                    </a:solidFill>
                  </a:rPr>
                  <a:t>Total</a:t>
                </a:r>
                <a:endParaRPr b="1">
                  <a:solidFill>
                    <a:srgbClr val="0070C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723325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05812-cd5a-417b-ac3e-ff7c8bfab1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00B050"/>
          </a:solid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27940</xdr:colOff>
      <xdr:row>3</xdr:row>
      <xdr:rowOff>254000</xdr:rowOff>
    </xdr:from>
    <xdr:to>
      <xdr:col>9</xdr:col>
      <xdr:colOff>349885</xdr:colOff>
      <xdr:row>21</xdr:row>
      <xdr:rowOff>126365</xdr:rowOff>
    </xdr:to>
    <xdr:graphicFrame>
      <xdr:nvGraphicFramePr>
        <xdr:cNvPr id="2" name="Chart 1"/>
        <xdr:cNvGraphicFramePr/>
      </xdr:nvGraphicFramePr>
      <xdr:xfrm>
        <a:off x="27940" y="990600"/>
        <a:ext cx="7808595" cy="3352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495300</xdr:colOff>
      <xdr:row>4</xdr:row>
      <xdr:rowOff>12700</xdr:rowOff>
    </xdr:from>
    <xdr:to>
      <xdr:col>11</xdr:col>
      <xdr:colOff>304800</xdr:colOff>
      <xdr:row>21</xdr:row>
      <xdr:rowOff>87630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1950" y="1016000"/>
              <a:ext cx="1028700" cy="3288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501650</xdr:colOff>
      <xdr:row>4</xdr:row>
      <xdr:rowOff>33020</xdr:rowOff>
    </xdr:from>
    <xdr:to>
      <xdr:col>21</xdr:col>
      <xdr:colOff>285750</xdr:colOff>
      <xdr:row>21</xdr:row>
      <xdr:rowOff>46355</xdr:rowOff>
    </xdr:to>
    <xdr:graphicFrame>
      <xdr:nvGraphicFramePr>
        <xdr:cNvPr id="4" name="Chart 3"/>
        <xdr:cNvGraphicFramePr/>
      </xdr:nvGraphicFramePr>
      <xdr:xfrm>
        <a:off x="9817100" y="1036320"/>
        <a:ext cx="6102350" cy="3226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24</xdr:row>
      <xdr:rowOff>19050</xdr:rowOff>
    </xdr:from>
    <xdr:to>
      <xdr:col>9</xdr:col>
      <xdr:colOff>386080</xdr:colOff>
      <xdr:row>42</xdr:row>
      <xdr:rowOff>158750</xdr:rowOff>
    </xdr:to>
    <xdr:graphicFrame>
      <xdr:nvGraphicFramePr>
        <xdr:cNvPr id="5" name="Chart 4"/>
        <xdr:cNvGraphicFramePr/>
      </xdr:nvGraphicFramePr>
      <xdr:xfrm>
        <a:off x="12700" y="4787900"/>
        <a:ext cx="7860030" cy="345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487680</xdr:colOff>
      <xdr:row>24</xdr:row>
      <xdr:rowOff>6350</xdr:rowOff>
    </xdr:from>
    <xdr:to>
      <xdr:col>11</xdr:col>
      <xdr:colOff>311785</xdr:colOff>
      <xdr:row>42</xdr:row>
      <xdr:rowOff>144145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onthl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l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4330" y="4775200"/>
              <a:ext cx="1043305" cy="34524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501650</xdr:colOff>
      <xdr:row>24</xdr:row>
      <xdr:rowOff>1270</xdr:rowOff>
    </xdr:from>
    <xdr:to>
      <xdr:col>21</xdr:col>
      <xdr:colOff>279400</xdr:colOff>
      <xdr:row>42</xdr:row>
      <xdr:rowOff>172085</xdr:rowOff>
    </xdr:to>
    <xdr:graphicFrame>
      <xdr:nvGraphicFramePr>
        <xdr:cNvPr id="7" name="Chart 6"/>
        <xdr:cNvGraphicFramePr/>
      </xdr:nvGraphicFramePr>
      <xdr:xfrm>
        <a:off x="9817100" y="4770120"/>
        <a:ext cx="609600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400050</xdr:colOff>
      <xdr:row>23</xdr:row>
      <xdr:rowOff>177800</xdr:rowOff>
    </xdr:from>
    <xdr:to>
      <xdr:col>24</xdr:col>
      <xdr:colOff>38100</xdr:colOff>
      <xdr:row>42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33750" y="4762500"/>
              <a:ext cx="1466850" cy="3491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387350</xdr:colOff>
      <xdr:row>3</xdr:row>
      <xdr:rowOff>253365</xdr:rowOff>
    </xdr:from>
    <xdr:to>
      <xdr:col>13</xdr:col>
      <xdr:colOff>51435</xdr:colOff>
      <xdr:row>21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Order Car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Car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3200" y="989965"/>
              <a:ext cx="883285" cy="3277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311150</xdr:colOff>
      <xdr:row>4</xdr:row>
      <xdr:rowOff>57150</xdr:rowOff>
    </xdr:from>
    <xdr:to>
      <xdr:col>23</xdr:col>
      <xdr:colOff>120650</xdr:colOff>
      <xdr:row>21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It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44850" y="1060450"/>
              <a:ext cx="1028700" cy="324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Excell%20Project\ExcellSalesDataProjec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iginal_Dataset"/>
      <sheetName val="CopyOfSalesDataset"/>
      <sheetName val="Dashboard"/>
    </sheetNames>
    <sheetDataSet>
      <sheetData sheetId="0"/>
      <sheetData sheetId="1">
        <row r="2">
          <cell r="A2">
            <v>45297</v>
          </cell>
          <cell r="B2" t="str">
            <v>January</v>
          </cell>
          <cell r="C2">
            <v>2024</v>
          </cell>
          <cell r="D2" t="str">
            <v>East</v>
          </cell>
          <cell r="E2" t="str">
            <v>Jones</v>
          </cell>
          <cell r="F2" t="str">
            <v>Pencil</v>
          </cell>
          <cell r="G2">
            <v>95</v>
          </cell>
          <cell r="H2">
            <v>1.99</v>
          </cell>
          <cell r="I2">
            <v>189.05</v>
          </cell>
          <cell r="J2" t="str">
            <v>Normal Value</v>
          </cell>
        </row>
        <row r="3">
          <cell r="A3">
            <v>45314</v>
          </cell>
          <cell r="B3" t="str">
            <v>January</v>
          </cell>
          <cell r="C3">
            <v>2024</v>
          </cell>
          <cell r="D3" t="str">
            <v>Central</v>
          </cell>
          <cell r="E3" t="str">
            <v>Kivell</v>
          </cell>
          <cell r="F3" t="str">
            <v>Binder</v>
          </cell>
          <cell r="G3">
            <v>50</v>
          </cell>
          <cell r="H3">
            <v>19.99</v>
          </cell>
          <cell r="I3">
            <v>999.5</v>
          </cell>
          <cell r="J3" t="str">
            <v>High Value</v>
          </cell>
        </row>
        <row r="4">
          <cell r="A4">
            <v>45331</v>
          </cell>
          <cell r="B4" t="str">
            <v>February</v>
          </cell>
          <cell r="C4">
            <v>2024</v>
          </cell>
          <cell r="D4" t="str">
            <v>Central</v>
          </cell>
          <cell r="E4" t="str">
            <v>Jardine</v>
          </cell>
          <cell r="F4" t="str">
            <v>Pencil</v>
          </cell>
          <cell r="G4">
            <v>36</v>
          </cell>
          <cell r="H4">
            <v>4.99</v>
          </cell>
          <cell r="I4">
            <v>179.64</v>
          </cell>
          <cell r="J4" t="str">
            <v>Normal Value</v>
          </cell>
        </row>
        <row r="5">
          <cell r="A5">
            <v>45348</v>
          </cell>
          <cell r="B5" t="str">
            <v>February</v>
          </cell>
          <cell r="C5">
            <v>2024</v>
          </cell>
          <cell r="D5" t="str">
            <v>Central</v>
          </cell>
          <cell r="E5" t="str">
            <v>Gill</v>
          </cell>
          <cell r="F5" t="str">
            <v>Pen</v>
          </cell>
          <cell r="G5">
            <v>27</v>
          </cell>
          <cell r="H5">
            <v>19.99</v>
          </cell>
          <cell r="I5">
            <v>539.73</v>
          </cell>
          <cell r="J5" t="str">
            <v>High Value</v>
          </cell>
        </row>
        <row r="6">
          <cell r="A6">
            <v>45366</v>
          </cell>
          <cell r="B6" t="str">
            <v>March</v>
          </cell>
          <cell r="C6">
            <v>2024</v>
          </cell>
          <cell r="D6" t="str">
            <v>West</v>
          </cell>
          <cell r="E6" t="str">
            <v>Sorvino</v>
          </cell>
          <cell r="F6" t="str">
            <v>Pencil</v>
          </cell>
          <cell r="G6">
            <v>56</v>
          </cell>
          <cell r="H6">
            <v>2.99</v>
          </cell>
          <cell r="I6">
            <v>167.44</v>
          </cell>
          <cell r="J6" t="str">
            <v>Normal Value</v>
          </cell>
        </row>
        <row r="7">
          <cell r="A7">
            <v>45383</v>
          </cell>
          <cell r="B7" t="str">
            <v>April</v>
          </cell>
          <cell r="C7">
            <v>2024</v>
          </cell>
          <cell r="D7" t="str">
            <v>East</v>
          </cell>
          <cell r="E7" t="str">
            <v>Jones</v>
          </cell>
          <cell r="F7" t="str">
            <v>Binder</v>
          </cell>
          <cell r="G7">
            <v>60</v>
          </cell>
          <cell r="H7">
            <v>4.99</v>
          </cell>
          <cell r="I7">
            <v>299.4</v>
          </cell>
          <cell r="J7" t="str">
            <v>Normal Value</v>
          </cell>
        </row>
        <row r="8">
          <cell r="A8">
            <v>45400</v>
          </cell>
          <cell r="B8" t="str">
            <v>April</v>
          </cell>
          <cell r="C8">
            <v>2024</v>
          </cell>
          <cell r="D8" t="str">
            <v>Central</v>
          </cell>
          <cell r="E8" t="str">
            <v>Andrews</v>
          </cell>
          <cell r="F8" t="str">
            <v>Pencil</v>
          </cell>
          <cell r="G8">
            <v>75</v>
          </cell>
          <cell r="H8">
            <v>1.99</v>
          </cell>
          <cell r="I8">
            <v>149.25</v>
          </cell>
          <cell r="J8" t="str">
            <v>Normal Value</v>
          </cell>
        </row>
        <row r="9">
          <cell r="A9">
            <v>45417</v>
          </cell>
          <cell r="B9" t="str">
            <v>May</v>
          </cell>
          <cell r="C9">
            <v>2024</v>
          </cell>
          <cell r="D9" t="str">
            <v>Central</v>
          </cell>
          <cell r="E9" t="str">
            <v>Jardine</v>
          </cell>
          <cell r="F9" t="str">
            <v>Pencil</v>
          </cell>
          <cell r="G9">
            <v>90</v>
          </cell>
          <cell r="H9">
            <v>4.99</v>
          </cell>
          <cell r="I9">
            <v>449.1</v>
          </cell>
          <cell r="J9" t="str">
            <v>Normal Value</v>
          </cell>
        </row>
        <row r="10">
          <cell r="A10">
            <v>45434</v>
          </cell>
          <cell r="B10" t="str">
            <v>May</v>
          </cell>
          <cell r="C10">
            <v>2024</v>
          </cell>
          <cell r="D10" t="str">
            <v>West</v>
          </cell>
          <cell r="E10" t="str">
            <v>Thompson</v>
          </cell>
          <cell r="F10" t="str">
            <v>Pencil</v>
          </cell>
          <cell r="G10">
            <v>32</v>
          </cell>
          <cell r="H10">
            <v>1.99</v>
          </cell>
          <cell r="I10">
            <v>63.68</v>
          </cell>
          <cell r="J10" t="str">
            <v>Normal Value</v>
          </cell>
        </row>
        <row r="11">
          <cell r="A11">
            <v>45451</v>
          </cell>
          <cell r="B11" t="str">
            <v>June</v>
          </cell>
          <cell r="C11">
            <v>2024</v>
          </cell>
          <cell r="D11" t="str">
            <v>East</v>
          </cell>
          <cell r="E11" t="str">
            <v>Jones</v>
          </cell>
          <cell r="F11" t="str">
            <v>Binder</v>
          </cell>
          <cell r="G11">
            <v>60</v>
          </cell>
          <cell r="H11">
            <v>8.99</v>
          </cell>
          <cell r="I11">
            <v>539.4</v>
          </cell>
          <cell r="J11" t="str">
            <v>High Value</v>
          </cell>
        </row>
        <row r="12">
          <cell r="A12">
            <v>45468</v>
          </cell>
          <cell r="B12" t="str">
            <v>June</v>
          </cell>
          <cell r="C12">
            <v>2024</v>
          </cell>
          <cell r="D12" t="str">
            <v>Central</v>
          </cell>
          <cell r="E12" t="str">
            <v>Morgan</v>
          </cell>
          <cell r="F12" t="str">
            <v>Pencil</v>
          </cell>
          <cell r="G12">
            <v>90</v>
          </cell>
          <cell r="H12">
            <v>4.99</v>
          </cell>
          <cell r="I12">
            <v>449.1</v>
          </cell>
          <cell r="J12" t="str">
            <v>Normal Value</v>
          </cell>
        </row>
        <row r="13">
          <cell r="A13">
            <v>45485</v>
          </cell>
          <cell r="B13" t="str">
            <v>July</v>
          </cell>
          <cell r="C13">
            <v>2024</v>
          </cell>
          <cell r="D13" t="str">
            <v>East</v>
          </cell>
          <cell r="E13" t="str">
            <v>Howard</v>
          </cell>
          <cell r="F13" t="str">
            <v>Binder</v>
          </cell>
          <cell r="G13">
            <v>29</v>
          </cell>
          <cell r="H13">
            <v>1.99</v>
          </cell>
          <cell r="I13">
            <v>57.71</v>
          </cell>
          <cell r="J13" t="str">
            <v>Normal Value</v>
          </cell>
        </row>
        <row r="14">
          <cell r="A14">
            <v>45502</v>
          </cell>
          <cell r="B14" t="str">
            <v>July</v>
          </cell>
          <cell r="C14">
            <v>2024</v>
          </cell>
          <cell r="D14" t="str">
            <v>East</v>
          </cell>
          <cell r="E14" t="str">
            <v>Parent</v>
          </cell>
          <cell r="F14" t="str">
            <v>Binder</v>
          </cell>
          <cell r="G14">
            <v>81</v>
          </cell>
          <cell r="H14">
            <v>19.99</v>
          </cell>
          <cell r="I14">
            <v>1619.19</v>
          </cell>
          <cell r="J14" t="str">
            <v>High Value</v>
          </cell>
        </row>
        <row r="15">
          <cell r="A15">
            <v>45519</v>
          </cell>
          <cell r="B15" t="str">
            <v>August</v>
          </cell>
          <cell r="C15">
            <v>2024</v>
          </cell>
          <cell r="D15" t="str">
            <v>East</v>
          </cell>
          <cell r="E15" t="str">
            <v>Jones</v>
          </cell>
          <cell r="F15" t="str">
            <v>Pencil</v>
          </cell>
          <cell r="G15">
            <v>35</v>
          </cell>
          <cell r="H15">
            <v>4.99</v>
          </cell>
          <cell r="I15">
            <v>174.65</v>
          </cell>
          <cell r="J15" t="str">
            <v>Normal Value</v>
          </cell>
        </row>
        <row r="16">
          <cell r="A16">
            <v>45536</v>
          </cell>
          <cell r="B16" t="str">
            <v>September</v>
          </cell>
          <cell r="C16">
            <v>2024</v>
          </cell>
          <cell r="D16" t="str">
            <v>Central</v>
          </cell>
          <cell r="E16" t="str">
            <v>Smith</v>
          </cell>
          <cell r="F16" t="str">
            <v>Desk</v>
          </cell>
          <cell r="G16">
            <v>2</v>
          </cell>
          <cell r="H16">
            <v>125</v>
          </cell>
          <cell r="I16">
            <v>250</v>
          </cell>
          <cell r="J16" t="str">
            <v>Normal Value</v>
          </cell>
        </row>
        <row r="17">
          <cell r="A17">
            <v>45553</v>
          </cell>
          <cell r="B17" t="str">
            <v>September</v>
          </cell>
          <cell r="C17">
            <v>2024</v>
          </cell>
          <cell r="D17" t="str">
            <v>East</v>
          </cell>
          <cell r="E17" t="str">
            <v>Jones</v>
          </cell>
          <cell r="F17" t="str">
            <v>Pen Set</v>
          </cell>
          <cell r="G17">
            <v>16</v>
          </cell>
          <cell r="H17">
            <v>15.99</v>
          </cell>
          <cell r="I17">
            <v>255.84</v>
          </cell>
          <cell r="J17" t="str">
            <v>Normal Value</v>
          </cell>
        </row>
        <row r="18">
          <cell r="A18">
            <v>45570</v>
          </cell>
          <cell r="B18" t="str">
            <v>October</v>
          </cell>
          <cell r="C18">
            <v>2024</v>
          </cell>
          <cell r="D18" t="str">
            <v>Central</v>
          </cell>
          <cell r="E18" t="str">
            <v>Morgan</v>
          </cell>
          <cell r="F18" t="str">
            <v>Binder</v>
          </cell>
          <cell r="G18">
            <v>28</v>
          </cell>
          <cell r="H18">
            <v>8.99</v>
          </cell>
          <cell r="I18">
            <v>251.72</v>
          </cell>
          <cell r="J18" t="str">
            <v>Normal Value</v>
          </cell>
        </row>
        <row r="19">
          <cell r="A19">
            <v>45587</v>
          </cell>
          <cell r="B19" t="str">
            <v>October</v>
          </cell>
          <cell r="C19">
            <v>2024</v>
          </cell>
          <cell r="D19" t="str">
            <v>East</v>
          </cell>
          <cell r="E19" t="str">
            <v>Jones</v>
          </cell>
          <cell r="F19" t="str">
            <v>Pen</v>
          </cell>
          <cell r="G19">
            <v>64</v>
          </cell>
          <cell r="H19">
            <v>8.99</v>
          </cell>
          <cell r="I19">
            <v>575.36</v>
          </cell>
          <cell r="J19" t="str">
            <v>High Value</v>
          </cell>
        </row>
        <row r="20">
          <cell r="A20">
            <v>45604</v>
          </cell>
          <cell r="B20" t="str">
            <v>November</v>
          </cell>
          <cell r="C20">
            <v>2024</v>
          </cell>
          <cell r="D20" t="str">
            <v>East</v>
          </cell>
          <cell r="E20" t="str">
            <v>Parent</v>
          </cell>
          <cell r="F20" t="str">
            <v>Pen</v>
          </cell>
          <cell r="G20">
            <v>15</v>
          </cell>
          <cell r="H20">
            <v>19.99</v>
          </cell>
          <cell r="I20">
            <v>299.85</v>
          </cell>
          <cell r="J20" t="str">
            <v>Normal Value</v>
          </cell>
        </row>
        <row r="21">
          <cell r="A21">
            <v>45621</v>
          </cell>
          <cell r="B21" t="str">
            <v>November</v>
          </cell>
          <cell r="C21">
            <v>2024</v>
          </cell>
          <cell r="D21" t="str">
            <v>Central</v>
          </cell>
          <cell r="E21" t="str">
            <v>Kivell</v>
          </cell>
          <cell r="F21" t="str">
            <v>Pen Set</v>
          </cell>
          <cell r="G21">
            <v>96</v>
          </cell>
          <cell r="H21">
            <v>4.99</v>
          </cell>
          <cell r="I21">
            <v>479.04</v>
          </cell>
          <cell r="J21" t="str">
            <v>Normal Value</v>
          </cell>
        </row>
        <row r="22">
          <cell r="A22">
            <v>45638</v>
          </cell>
          <cell r="B22" t="str">
            <v>December</v>
          </cell>
          <cell r="C22">
            <v>2024</v>
          </cell>
          <cell r="D22" t="str">
            <v>Central</v>
          </cell>
          <cell r="E22" t="str">
            <v>Smith</v>
          </cell>
          <cell r="F22" t="str">
            <v>Pencil</v>
          </cell>
          <cell r="G22">
            <v>67</v>
          </cell>
          <cell r="H22">
            <v>1.29</v>
          </cell>
          <cell r="I22">
            <v>86.43</v>
          </cell>
          <cell r="J22" t="str">
            <v>Normal Value</v>
          </cell>
        </row>
        <row r="23">
          <cell r="A23">
            <v>45655</v>
          </cell>
          <cell r="B23" t="str">
            <v>December</v>
          </cell>
          <cell r="C23">
            <v>2024</v>
          </cell>
          <cell r="D23" t="str">
            <v>East</v>
          </cell>
          <cell r="E23" t="str">
            <v>Parent</v>
          </cell>
          <cell r="F23" t="str">
            <v>Pen Set</v>
          </cell>
          <cell r="G23">
            <v>74</v>
          </cell>
          <cell r="H23">
            <v>15.99</v>
          </cell>
          <cell r="I23">
            <v>1183.26</v>
          </cell>
          <cell r="J23" t="str">
            <v>High Value</v>
          </cell>
        </row>
        <row r="24">
          <cell r="A24">
            <v>45672</v>
          </cell>
          <cell r="B24" t="str">
            <v>January</v>
          </cell>
          <cell r="C24">
            <v>2025</v>
          </cell>
          <cell r="D24" t="str">
            <v>Central</v>
          </cell>
          <cell r="E24" t="str">
            <v>Gill</v>
          </cell>
          <cell r="F24" t="str">
            <v>Binder</v>
          </cell>
          <cell r="G24">
            <v>46</v>
          </cell>
          <cell r="H24">
            <v>8.99</v>
          </cell>
          <cell r="I24">
            <v>413.54</v>
          </cell>
          <cell r="J24" t="str">
            <v>Normal Value</v>
          </cell>
        </row>
        <row r="25">
          <cell r="A25">
            <v>45689</v>
          </cell>
          <cell r="B25" t="str">
            <v>February</v>
          </cell>
          <cell r="C25">
            <v>2025</v>
          </cell>
          <cell r="D25" t="str">
            <v>Central</v>
          </cell>
          <cell r="E25" t="str">
            <v>Smith</v>
          </cell>
          <cell r="F25" t="str">
            <v>Binder</v>
          </cell>
          <cell r="G25">
            <v>87</v>
          </cell>
          <cell r="H25">
            <v>15</v>
          </cell>
          <cell r="I25">
            <v>1305</v>
          </cell>
          <cell r="J25" t="str">
            <v>High Value</v>
          </cell>
        </row>
        <row r="26">
          <cell r="A26">
            <v>45706</v>
          </cell>
          <cell r="B26" t="str">
            <v>February</v>
          </cell>
          <cell r="C26">
            <v>2025</v>
          </cell>
          <cell r="D26" t="str">
            <v>East</v>
          </cell>
          <cell r="E26" t="str">
            <v>Jones</v>
          </cell>
          <cell r="F26" t="str">
            <v>Binder</v>
          </cell>
          <cell r="G26">
            <v>4</v>
          </cell>
          <cell r="H26">
            <v>4.99</v>
          </cell>
          <cell r="I26">
            <v>19.96</v>
          </cell>
          <cell r="J26" t="str">
            <v>Normal Value</v>
          </cell>
        </row>
        <row r="27">
          <cell r="A27">
            <v>45723</v>
          </cell>
          <cell r="B27" t="str">
            <v>March</v>
          </cell>
          <cell r="C27">
            <v>2025</v>
          </cell>
          <cell r="D27" t="str">
            <v>West</v>
          </cell>
          <cell r="E27" t="str">
            <v>Sorvino</v>
          </cell>
          <cell r="F27" t="str">
            <v>Binder</v>
          </cell>
          <cell r="G27">
            <v>7</v>
          </cell>
          <cell r="H27">
            <v>19.99</v>
          </cell>
          <cell r="I27">
            <v>139.93</v>
          </cell>
          <cell r="J27" t="str">
            <v>Normal Value</v>
          </cell>
        </row>
        <row r="28">
          <cell r="A28">
            <v>45740</v>
          </cell>
          <cell r="B28" t="str">
            <v>March</v>
          </cell>
          <cell r="C28">
            <v>2025</v>
          </cell>
          <cell r="D28" t="str">
            <v>Central</v>
          </cell>
          <cell r="E28" t="str">
            <v>Jardine</v>
          </cell>
          <cell r="F28" t="str">
            <v>Pen Set</v>
          </cell>
          <cell r="G28">
            <v>50</v>
          </cell>
          <cell r="H28">
            <v>4.99</v>
          </cell>
          <cell r="I28">
            <v>249.5</v>
          </cell>
          <cell r="J28" t="str">
            <v>Normal Value</v>
          </cell>
        </row>
        <row r="29">
          <cell r="A29">
            <v>45757</v>
          </cell>
          <cell r="B29" t="str">
            <v>April</v>
          </cell>
          <cell r="C29">
            <v>2025</v>
          </cell>
          <cell r="D29" t="str">
            <v>Central</v>
          </cell>
          <cell r="E29" t="str">
            <v>Andrews</v>
          </cell>
          <cell r="F29" t="str">
            <v>Pencil</v>
          </cell>
          <cell r="G29">
            <v>66</v>
          </cell>
          <cell r="H29">
            <v>1.99</v>
          </cell>
          <cell r="I29">
            <v>131.34</v>
          </cell>
          <cell r="J29" t="str">
            <v>Normal Value</v>
          </cell>
        </row>
        <row r="30">
          <cell r="A30">
            <v>45774</v>
          </cell>
          <cell r="B30" t="str">
            <v>April</v>
          </cell>
          <cell r="C30">
            <v>2025</v>
          </cell>
          <cell r="D30" t="str">
            <v>East</v>
          </cell>
          <cell r="E30" t="str">
            <v>Howard</v>
          </cell>
          <cell r="F30" t="str">
            <v>Pen</v>
          </cell>
          <cell r="G30">
            <v>96</v>
          </cell>
          <cell r="H30">
            <v>4.99</v>
          </cell>
          <cell r="I30">
            <v>479.04</v>
          </cell>
          <cell r="J30" t="str">
            <v>Normal Value</v>
          </cell>
        </row>
        <row r="31">
          <cell r="A31">
            <v>45791</v>
          </cell>
          <cell r="B31" t="str">
            <v>May</v>
          </cell>
          <cell r="C31">
            <v>2025</v>
          </cell>
          <cell r="D31" t="str">
            <v>Central</v>
          </cell>
          <cell r="E31" t="str">
            <v>Gill</v>
          </cell>
          <cell r="F31" t="str">
            <v>Pencil</v>
          </cell>
          <cell r="G31">
            <v>53</v>
          </cell>
          <cell r="H31">
            <v>1.29</v>
          </cell>
          <cell r="I31">
            <v>68.37</v>
          </cell>
          <cell r="J31" t="str">
            <v>Normal Value</v>
          </cell>
        </row>
        <row r="32">
          <cell r="A32">
            <v>45808</v>
          </cell>
          <cell r="B32" t="str">
            <v>May</v>
          </cell>
          <cell r="C32">
            <v>2025</v>
          </cell>
          <cell r="D32" t="str">
            <v>Central</v>
          </cell>
          <cell r="E32" t="str">
            <v>Gill</v>
          </cell>
          <cell r="F32" t="str">
            <v>Binder</v>
          </cell>
          <cell r="G32">
            <v>80</v>
          </cell>
          <cell r="H32">
            <v>8.99</v>
          </cell>
          <cell r="I32">
            <v>719.2</v>
          </cell>
          <cell r="J32" t="str">
            <v>High Value</v>
          </cell>
        </row>
        <row r="33">
          <cell r="A33">
            <v>45825</v>
          </cell>
          <cell r="B33" t="str">
            <v>June</v>
          </cell>
          <cell r="C33">
            <v>2025</v>
          </cell>
          <cell r="D33" t="str">
            <v>Central</v>
          </cell>
          <cell r="E33" t="str">
            <v>Kivell</v>
          </cell>
          <cell r="F33" t="str">
            <v>Desk</v>
          </cell>
          <cell r="G33">
            <v>5</v>
          </cell>
          <cell r="H33">
            <v>125</v>
          </cell>
          <cell r="I33">
            <v>625</v>
          </cell>
          <cell r="J33" t="str">
            <v>High Value</v>
          </cell>
        </row>
        <row r="34">
          <cell r="A34">
            <v>45842</v>
          </cell>
          <cell r="B34" t="str">
            <v>July</v>
          </cell>
          <cell r="C34">
            <v>2025</v>
          </cell>
          <cell r="D34" t="str">
            <v>East</v>
          </cell>
          <cell r="E34" t="str">
            <v>Jones</v>
          </cell>
          <cell r="F34" t="str">
            <v>Pen Set</v>
          </cell>
          <cell r="G34">
            <v>62</v>
          </cell>
          <cell r="H34">
            <v>4.99</v>
          </cell>
          <cell r="I34">
            <v>309.38</v>
          </cell>
          <cell r="J34" t="str">
            <v>Normal Value</v>
          </cell>
        </row>
        <row r="35">
          <cell r="A35">
            <v>45859</v>
          </cell>
          <cell r="B35" t="str">
            <v>July</v>
          </cell>
          <cell r="C35">
            <v>2025</v>
          </cell>
          <cell r="D35" t="str">
            <v>Central</v>
          </cell>
          <cell r="E35" t="str">
            <v>Morgan</v>
          </cell>
          <cell r="F35" t="str">
            <v>Pen Set</v>
          </cell>
          <cell r="G35">
            <v>55</v>
          </cell>
          <cell r="H35">
            <v>12.49</v>
          </cell>
          <cell r="I35">
            <v>686.95</v>
          </cell>
          <cell r="J35" t="str">
            <v>High Value</v>
          </cell>
        </row>
        <row r="36">
          <cell r="A36">
            <v>45876</v>
          </cell>
          <cell r="B36" t="str">
            <v>August</v>
          </cell>
          <cell r="C36">
            <v>2025</v>
          </cell>
          <cell r="D36" t="str">
            <v>Central</v>
          </cell>
          <cell r="E36" t="str">
            <v>Kivell</v>
          </cell>
          <cell r="F36" t="str">
            <v>Pen Set</v>
          </cell>
          <cell r="G36">
            <v>42</v>
          </cell>
          <cell r="H36">
            <v>23.95</v>
          </cell>
          <cell r="I36">
            <v>1005.9</v>
          </cell>
          <cell r="J36" t="str">
            <v>High Value</v>
          </cell>
        </row>
        <row r="37">
          <cell r="A37">
            <v>45893</v>
          </cell>
          <cell r="B37" t="str">
            <v>August</v>
          </cell>
          <cell r="C37">
            <v>2025</v>
          </cell>
          <cell r="D37" t="str">
            <v>West</v>
          </cell>
          <cell r="E37" t="str">
            <v>Sorvino</v>
          </cell>
          <cell r="F37" t="str">
            <v>Desk</v>
          </cell>
          <cell r="G37">
            <v>3</v>
          </cell>
          <cell r="H37">
            <v>275</v>
          </cell>
          <cell r="I37">
            <v>825</v>
          </cell>
          <cell r="J37" t="str">
            <v>High Value</v>
          </cell>
        </row>
        <row r="38">
          <cell r="A38">
            <v>45910</v>
          </cell>
          <cell r="B38" t="str">
            <v>September</v>
          </cell>
          <cell r="C38">
            <v>2025</v>
          </cell>
          <cell r="D38" t="str">
            <v>Central</v>
          </cell>
          <cell r="E38" t="str">
            <v>Gill</v>
          </cell>
          <cell r="F38" t="str">
            <v>Pencil</v>
          </cell>
          <cell r="G38">
            <v>7</v>
          </cell>
          <cell r="H38">
            <v>1.29</v>
          </cell>
          <cell r="I38">
            <v>9.03</v>
          </cell>
          <cell r="J38" t="str">
            <v>Normal Value</v>
          </cell>
        </row>
        <row r="39">
          <cell r="A39">
            <v>45927</v>
          </cell>
          <cell r="B39" t="str">
            <v>September</v>
          </cell>
          <cell r="C39">
            <v>2025</v>
          </cell>
          <cell r="D39" t="str">
            <v>West</v>
          </cell>
          <cell r="E39" t="str">
            <v>Sorvino</v>
          </cell>
          <cell r="F39" t="str">
            <v>Pen</v>
          </cell>
          <cell r="G39">
            <v>76</v>
          </cell>
          <cell r="H39">
            <v>1.99</v>
          </cell>
          <cell r="I39">
            <v>151.24</v>
          </cell>
          <cell r="J39" t="str">
            <v>Normal Value</v>
          </cell>
        </row>
        <row r="40">
          <cell r="A40">
            <v>45944</v>
          </cell>
          <cell r="B40" t="str">
            <v>October</v>
          </cell>
          <cell r="C40">
            <v>2025</v>
          </cell>
          <cell r="D40" t="str">
            <v>West</v>
          </cell>
          <cell r="E40" t="str">
            <v>Thompson</v>
          </cell>
          <cell r="F40" t="str">
            <v>Binder</v>
          </cell>
          <cell r="G40">
            <v>57</v>
          </cell>
          <cell r="H40">
            <v>19.99</v>
          </cell>
          <cell r="I40">
            <v>1139.43</v>
          </cell>
          <cell r="J40" t="str">
            <v>High Value</v>
          </cell>
        </row>
        <row r="41">
          <cell r="A41">
            <v>45961</v>
          </cell>
          <cell r="B41" t="str">
            <v>October</v>
          </cell>
          <cell r="C41">
            <v>2025</v>
          </cell>
          <cell r="D41" t="str">
            <v>Central</v>
          </cell>
          <cell r="E41" t="str">
            <v>Andrews</v>
          </cell>
          <cell r="F41" t="str">
            <v>Pencil</v>
          </cell>
          <cell r="G41">
            <v>14</v>
          </cell>
          <cell r="H41">
            <v>1.29</v>
          </cell>
          <cell r="I41">
            <v>18.06</v>
          </cell>
          <cell r="J41" t="str">
            <v>Normal Value</v>
          </cell>
        </row>
        <row r="42">
          <cell r="A42">
            <v>45978</v>
          </cell>
          <cell r="B42" t="str">
            <v>November</v>
          </cell>
          <cell r="C42">
            <v>2025</v>
          </cell>
          <cell r="D42" t="str">
            <v>Central</v>
          </cell>
          <cell r="E42" t="str">
            <v>Jardine</v>
          </cell>
          <cell r="F42" t="str">
            <v>Binder</v>
          </cell>
          <cell r="G42">
            <v>11</v>
          </cell>
          <cell r="H42">
            <v>4.99</v>
          </cell>
          <cell r="I42">
            <v>54.89</v>
          </cell>
          <cell r="J42" t="str">
            <v>Normal Value</v>
          </cell>
        </row>
        <row r="43">
          <cell r="A43">
            <v>45995</v>
          </cell>
          <cell r="B43" t="str">
            <v>December</v>
          </cell>
          <cell r="C43">
            <v>2025</v>
          </cell>
          <cell r="D43" t="str">
            <v>Central</v>
          </cell>
          <cell r="E43" t="str">
            <v>Jardine</v>
          </cell>
          <cell r="F43" t="str">
            <v>Binder</v>
          </cell>
          <cell r="G43">
            <v>94</v>
          </cell>
          <cell r="H43">
            <v>19.99</v>
          </cell>
          <cell r="I43">
            <v>1879.06</v>
          </cell>
          <cell r="J43" t="str">
            <v>High Value</v>
          </cell>
        </row>
        <row r="44">
          <cell r="A44">
            <v>46012</v>
          </cell>
          <cell r="B44" t="str">
            <v>December</v>
          </cell>
          <cell r="C44">
            <v>2025</v>
          </cell>
          <cell r="D44" t="str">
            <v>Central</v>
          </cell>
          <cell r="E44" t="str">
            <v>Andrews</v>
          </cell>
          <cell r="F44" t="str">
            <v>Binder</v>
          </cell>
          <cell r="G44">
            <v>28</v>
          </cell>
          <cell r="H44">
            <v>4.99</v>
          </cell>
          <cell r="I44">
            <v>139.72</v>
          </cell>
          <cell r="J44" t="str">
            <v>Normal Value</v>
          </cell>
        </row>
        <row r="45">
          <cell r="A45">
            <v>46012</v>
          </cell>
          <cell r="B45" t="str">
            <v>December</v>
          </cell>
          <cell r="C45">
            <v>2025</v>
          </cell>
          <cell r="D45" t="str">
            <v>Central</v>
          </cell>
          <cell r="E45" t="str">
            <v>Andrews</v>
          </cell>
          <cell r="F45" t="str">
            <v>Binder</v>
          </cell>
          <cell r="G45">
            <v>28</v>
          </cell>
          <cell r="H45">
            <v>4.99</v>
          </cell>
          <cell r="I45">
            <v>139.72</v>
          </cell>
          <cell r="J45" t="str">
            <v>Normal Value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Hp\Desktop\Excell Project\ExcellSalesData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4.6089699074" refreshedBy="Hp" recordCount="44">
  <cacheSource type="worksheet">
    <worksheetSource name="Table1" r:id="rId2"/>
  </cacheSource>
  <cacheFields count="10">
    <cacheField name="OrderDate" numFmtId="0">
      <sharedItems containsSemiMixedTypes="0" containsString="0" containsNonDate="0" containsDate="1" minDate="2024-01-06T00:00:00" maxDate="2025-12-21T00:00:00" count="43">
        <d v="2024-01-06T00:00:00"/>
        <d v="2024-01-23T00:00:00"/>
        <d v="2024-02-09T00:00:00"/>
        <d v="2024-02-26T00:00:00"/>
        <d v="2024-03-15T00:00:00"/>
        <d v="2024-04-01T00:00:00"/>
        <d v="2024-04-18T00:00:00"/>
        <d v="2024-05-05T00:00:00"/>
        <d v="2024-05-22T00:00:00"/>
        <d v="2024-06-08T00:00:00"/>
        <d v="2024-06-25T00:00:00"/>
        <d v="2024-07-12T00:00:00"/>
        <d v="2024-07-29T00:00:00"/>
        <d v="2024-08-15T00:00:00"/>
        <d v="2024-09-01T00:00:00"/>
        <d v="2024-09-18T00:00:00"/>
        <d v="2024-10-05T00:00:00"/>
        <d v="2024-10-22T00:00:00"/>
        <d v="2024-11-08T00:00:00"/>
        <d v="2024-11-25T00:00:00"/>
        <d v="2024-12-12T00:00:00"/>
        <d v="2024-12-29T00:00:00"/>
        <d v="2025-01-15T00:00:00"/>
        <d v="2025-02-01T00:00:00"/>
        <d v="2025-02-18T00:00:00"/>
        <d v="2025-03-07T00:00:00"/>
        <d v="2025-03-24T00:00:00"/>
        <d v="2025-04-10T00:00:00"/>
        <d v="2025-04-27T00:00:00"/>
        <d v="2025-05-14T00:00:00"/>
        <d v="2025-05-31T00:00:00"/>
        <d v="2025-06-17T00:00:00"/>
        <d v="2025-07-04T00:00:00"/>
        <d v="2025-07-21T00:00:00"/>
        <d v="2025-08-07T00:00:00"/>
        <d v="2025-08-24T00:00:00"/>
        <d v="2025-09-10T00:00:00"/>
        <d v="2025-09-27T00:00:00"/>
        <d v="2025-10-14T00:00:00"/>
        <d v="2025-10-31T00:00:00"/>
        <d v="2025-11-17T00:00:00"/>
        <d v="2025-12-04T00:00:00"/>
        <d v="2025-12-21T00:00:00"/>
      </sharedItems>
    </cacheField>
    <cacheField name="Monthly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 u="1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Region" numFmtId="0">
      <sharedItems containsBlank="1" count="4">
        <s v="East"/>
        <s v="Central"/>
        <s v="West"/>
        <m u="1"/>
      </sharedItems>
    </cacheField>
    <cacheField name="Rep" numFmtId="0">
      <sharedItems containsBlank="1" count="12">
        <s v="Jones"/>
        <s v="Kivell"/>
        <s v="Jardine"/>
        <s v="Gill"/>
        <s v="Sorvino"/>
        <s v="Andrews"/>
        <s v="Thompson"/>
        <s v="Morgan"/>
        <s v="Howard"/>
        <s v="Parent"/>
        <s v="Smith"/>
        <m u="1"/>
      </sharedItems>
    </cacheField>
    <cacheField name="Item" numFmtId="0">
      <sharedItems containsBlank="1" count="6">
        <s v="Pencil"/>
        <s v="Binder"/>
        <s v="Pen"/>
        <s v="Desk"/>
        <s v="Pen Set"/>
        <m u="1"/>
      </sharedItems>
    </cacheField>
    <cacheField name="Units" numFmtId="0">
      <sharedItems containsSemiMixedTypes="0" containsString="0" containsNumber="1" containsInteger="1" minValue="2" maxValue="96" count="37">
        <n v="95"/>
        <n v="50"/>
        <n v="36"/>
        <n v="27"/>
        <n v="56"/>
        <n v="60"/>
        <n v="75"/>
        <n v="90"/>
        <n v="32"/>
        <n v="29"/>
        <n v="81"/>
        <n v="35"/>
        <n v="2"/>
        <n v="16"/>
        <n v="28"/>
        <n v="64"/>
        <n v="15"/>
        <n v="96"/>
        <n v="67"/>
        <n v="74"/>
        <n v="46"/>
        <n v="87"/>
        <n v="4"/>
        <n v="7"/>
        <n v="66"/>
        <n v="53"/>
        <n v="80"/>
        <n v="5"/>
        <n v="62"/>
        <n v="55"/>
        <n v="42"/>
        <n v="3"/>
        <n v="76"/>
        <n v="57"/>
        <n v="14"/>
        <n v="11"/>
        <n v="94"/>
      </sharedItems>
    </cacheField>
    <cacheField name="Unit Cost" numFmtId="0">
      <sharedItems containsSemiMixedTypes="0" containsString="0" containsNumber="1" minValue="1.29" maxValue="275" count="12">
        <n v="1.99"/>
        <n v="19.99"/>
        <n v="4.99"/>
        <n v="2.99"/>
        <n v="8.99"/>
        <n v="125"/>
        <n v="15.99"/>
        <n v="1.29"/>
        <n v="15"/>
        <n v="12.49"/>
        <n v="23.95"/>
        <n v="275"/>
      </sharedItems>
    </cacheField>
    <cacheField name="Total (Ksh)" numFmtId="4">
      <sharedItems containsSemiMixedTypes="0" containsString="0" containsNumber="1" minValue="9.03" maxValue="1879.06" count="41">
        <n v="189.05"/>
        <n v="999.5"/>
        <n v="179.64"/>
        <n v="539.73"/>
        <n v="167.44"/>
        <n v="299.4"/>
        <n v="149.25"/>
        <n v="449.1"/>
        <n v="63.68"/>
        <n v="539.4"/>
        <n v="57.71"/>
        <n v="1619.19"/>
        <n v="174.65"/>
        <n v="250"/>
        <n v="255.84"/>
        <n v="251.72"/>
        <n v="575.36"/>
        <n v="299.85"/>
        <n v="479.04"/>
        <n v="86.43"/>
        <n v="1183.26"/>
        <n v="413.54"/>
        <n v="1305"/>
        <n v="19.96"/>
        <n v="139.93"/>
        <n v="249.5"/>
        <n v="131.34"/>
        <n v="68.37"/>
        <n v="719.2"/>
        <n v="625"/>
        <n v="309.38"/>
        <n v="686.95"/>
        <n v="1005.9"/>
        <n v="825"/>
        <n v="9.03"/>
        <n v="151.24"/>
        <n v="1139.43"/>
        <n v="18.06"/>
        <n v="54.89"/>
        <n v="1879.06"/>
        <n v="139.72"/>
      </sharedItems>
    </cacheField>
    <cacheField name="Order Cartegory" numFmtId="0">
      <sharedItems containsBlank="1" count="3">
        <s v="Normal Value"/>
        <s v="High Value"/>
        <m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</r>
  <r>
    <x v="2"/>
    <x v="1"/>
    <x v="0"/>
    <x v="1"/>
    <x v="2"/>
    <x v="0"/>
    <x v="2"/>
    <x v="2"/>
    <x v="2"/>
    <x v="0"/>
  </r>
  <r>
    <x v="3"/>
    <x v="1"/>
    <x v="0"/>
    <x v="1"/>
    <x v="3"/>
    <x v="2"/>
    <x v="3"/>
    <x v="1"/>
    <x v="3"/>
    <x v="1"/>
  </r>
  <r>
    <x v="4"/>
    <x v="2"/>
    <x v="0"/>
    <x v="2"/>
    <x v="4"/>
    <x v="0"/>
    <x v="4"/>
    <x v="3"/>
    <x v="4"/>
    <x v="0"/>
  </r>
  <r>
    <x v="5"/>
    <x v="3"/>
    <x v="0"/>
    <x v="0"/>
    <x v="0"/>
    <x v="1"/>
    <x v="5"/>
    <x v="2"/>
    <x v="5"/>
    <x v="0"/>
  </r>
  <r>
    <x v="6"/>
    <x v="3"/>
    <x v="0"/>
    <x v="1"/>
    <x v="5"/>
    <x v="0"/>
    <x v="6"/>
    <x v="0"/>
    <x v="6"/>
    <x v="0"/>
  </r>
  <r>
    <x v="7"/>
    <x v="4"/>
    <x v="0"/>
    <x v="1"/>
    <x v="2"/>
    <x v="0"/>
    <x v="7"/>
    <x v="2"/>
    <x v="7"/>
    <x v="0"/>
  </r>
  <r>
    <x v="8"/>
    <x v="4"/>
    <x v="0"/>
    <x v="2"/>
    <x v="6"/>
    <x v="0"/>
    <x v="8"/>
    <x v="0"/>
    <x v="8"/>
    <x v="0"/>
  </r>
  <r>
    <x v="9"/>
    <x v="5"/>
    <x v="0"/>
    <x v="0"/>
    <x v="0"/>
    <x v="1"/>
    <x v="5"/>
    <x v="4"/>
    <x v="9"/>
    <x v="1"/>
  </r>
  <r>
    <x v="10"/>
    <x v="5"/>
    <x v="0"/>
    <x v="1"/>
    <x v="7"/>
    <x v="0"/>
    <x v="7"/>
    <x v="2"/>
    <x v="7"/>
    <x v="0"/>
  </r>
  <r>
    <x v="11"/>
    <x v="6"/>
    <x v="0"/>
    <x v="0"/>
    <x v="8"/>
    <x v="1"/>
    <x v="9"/>
    <x v="0"/>
    <x v="10"/>
    <x v="0"/>
  </r>
  <r>
    <x v="12"/>
    <x v="6"/>
    <x v="0"/>
    <x v="0"/>
    <x v="9"/>
    <x v="1"/>
    <x v="10"/>
    <x v="1"/>
    <x v="11"/>
    <x v="1"/>
  </r>
  <r>
    <x v="13"/>
    <x v="7"/>
    <x v="0"/>
    <x v="0"/>
    <x v="0"/>
    <x v="0"/>
    <x v="11"/>
    <x v="2"/>
    <x v="12"/>
    <x v="0"/>
  </r>
  <r>
    <x v="14"/>
    <x v="8"/>
    <x v="0"/>
    <x v="1"/>
    <x v="10"/>
    <x v="3"/>
    <x v="12"/>
    <x v="5"/>
    <x v="13"/>
    <x v="0"/>
  </r>
  <r>
    <x v="15"/>
    <x v="8"/>
    <x v="0"/>
    <x v="0"/>
    <x v="0"/>
    <x v="4"/>
    <x v="13"/>
    <x v="6"/>
    <x v="14"/>
    <x v="0"/>
  </r>
  <r>
    <x v="16"/>
    <x v="9"/>
    <x v="0"/>
    <x v="1"/>
    <x v="7"/>
    <x v="1"/>
    <x v="14"/>
    <x v="4"/>
    <x v="15"/>
    <x v="0"/>
  </r>
  <r>
    <x v="17"/>
    <x v="9"/>
    <x v="0"/>
    <x v="0"/>
    <x v="0"/>
    <x v="2"/>
    <x v="15"/>
    <x v="4"/>
    <x v="16"/>
    <x v="1"/>
  </r>
  <r>
    <x v="18"/>
    <x v="10"/>
    <x v="0"/>
    <x v="0"/>
    <x v="9"/>
    <x v="2"/>
    <x v="16"/>
    <x v="1"/>
    <x v="17"/>
    <x v="0"/>
  </r>
  <r>
    <x v="19"/>
    <x v="10"/>
    <x v="0"/>
    <x v="1"/>
    <x v="1"/>
    <x v="4"/>
    <x v="17"/>
    <x v="2"/>
    <x v="18"/>
    <x v="0"/>
  </r>
  <r>
    <x v="20"/>
    <x v="11"/>
    <x v="0"/>
    <x v="1"/>
    <x v="10"/>
    <x v="0"/>
    <x v="18"/>
    <x v="7"/>
    <x v="19"/>
    <x v="0"/>
  </r>
  <r>
    <x v="21"/>
    <x v="11"/>
    <x v="0"/>
    <x v="0"/>
    <x v="9"/>
    <x v="4"/>
    <x v="19"/>
    <x v="6"/>
    <x v="20"/>
    <x v="1"/>
  </r>
  <r>
    <x v="22"/>
    <x v="0"/>
    <x v="1"/>
    <x v="1"/>
    <x v="3"/>
    <x v="1"/>
    <x v="20"/>
    <x v="4"/>
    <x v="21"/>
    <x v="0"/>
  </r>
  <r>
    <x v="23"/>
    <x v="1"/>
    <x v="1"/>
    <x v="1"/>
    <x v="10"/>
    <x v="1"/>
    <x v="21"/>
    <x v="8"/>
    <x v="22"/>
    <x v="1"/>
  </r>
  <r>
    <x v="24"/>
    <x v="1"/>
    <x v="1"/>
    <x v="0"/>
    <x v="0"/>
    <x v="1"/>
    <x v="22"/>
    <x v="2"/>
    <x v="23"/>
    <x v="0"/>
  </r>
  <r>
    <x v="25"/>
    <x v="2"/>
    <x v="1"/>
    <x v="2"/>
    <x v="4"/>
    <x v="1"/>
    <x v="23"/>
    <x v="1"/>
    <x v="24"/>
    <x v="0"/>
  </r>
  <r>
    <x v="26"/>
    <x v="2"/>
    <x v="1"/>
    <x v="1"/>
    <x v="2"/>
    <x v="4"/>
    <x v="1"/>
    <x v="2"/>
    <x v="25"/>
    <x v="0"/>
  </r>
  <r>
    <x v="27"/>
    <x v="3"/>
    <x v="1"/>
    <x v="1"/>
    <x v="5"/>
    <x v="0"/>
    <x v="24"/>
    <x v="0"/>
    <x v="26"/>
    <x v="0"/>
  </r>
  <r>
    <x v="28"/>
    <x v="3"/>
    <x v="1"/>
    <x v="0"/>
    <x v="8"/>
    <x v="2"/>
    <x v="17"/>
    <x v="2"/>
    <x v="18"/>
    <x v="0"/>
  </r>
  <r>
    <x v="29"/>
    <x v="4"/>
    <x v="1"/>
    <x v="1"/>
    <x v="3"/>
    <x v="0"/>
    <x v="25"/>
    <x v="7"/>
    <x v="27"/>
    <x v="0"/>
  </r>
  <r>
    <x v="30"/>
    <x v="4"/>
    <x v="1"/>
    <x v="1"/>
    <x v="3"/>
    <x v="1"/>
    <x v="26"/>
    <x v="4"/>
    <x v="28"/>
    <x v="1"/>
  </r>
  <r>
    <x v="31"/>
    <x v="5"/>
    <x v="1"/>
    <x v="1"/>
    <x v="1"/>
    <x v="3"/>
    <x v="27"/>
    <x v="5"/>
    <x v="29"/>
    <x v="1"/>
  </r>
  <r>
    <x v="32"/>
    <x v="6"/>
    <x v="1"/>
    <x v="0"/>
    <x v="0"/>
    <x v="4"/>
    <x v="28"/>
    <x v="2"/>
    <x v="30"/>
    <x v="0"/>
  </r>
  <r>
    <x v="33"/>
    <x v="6"/>
    <x v="1"/>
    <x v="1"/>
    <x v="7"/>
    <x v="4"/>
    <x v="29"/>
    <x v="9"/>
    <x v="31"/>
    <x v="1"/>
  </r>
  <r>
    <x v="34"/>
    <x v="7"/>
    <x v="1"/>
    <x v="1"/>
    <x v="1"/>
    <x v="4"/>
    <x v="30"/>
    <x v="10"/>
    <x v="32"/>
    <x v="1"/>
  </r>
  <r>
    <x v="35"/>
    <x v="7"/>
    <x v="1"/>
    <x v="2"/>
    <x v="4"/>
    <x v="3"/>
    <x v="31"/>
    <x v="11"/>
    <x v="33"/>
    <x v="1"/>
  </r>
  <r>
    <x v="36"/>
    <x v="8"/>
    <x v="1"/>
    <x v="1"/>
    <x v="3"/>
    <x v="0"/>
    <x v="23"/>
    <x v="7"/>
    <x v="34"/>
    <x v="0"/>
  </r>
  <r>
    <x v="37"/>
    <x v="8"/>
    <x v="1"/>
    <x v="2"/>
    <x v="4"/>
    <x v="2"/>
    <x v="32"/>
    <x v="0"/>
    <x v="35"/>
    <x v="0"/>
  </r>
  <r>
    <x v="38"/>
    <x v="9"/>
    <x v="1"/>
    <x v="2"/>
    <x v="6"/>
    <x v="1"/>
    <x v="33"/>
    <x v="1"/>
    <x v="36"/>
    <x v="1"/>
  </r>
  <r>
    <x v="39"/>
    <x v="9"/>
    <x v="1"/>
    <x v="1"/>
    <x v="5"/>
    <x v="0"/>
    <x v="34"/>
    <x v="7"/>
    <x v="37"/>
    <x v="0"/>
  </r>
  <r>
    <x v="40"/>
    <x v="10"/>
    <x v="1"/>
    <x v="1"/>
    <x v="2"/>
    <x v="1"/>
    <x v="35"/>
    <x v="2"/>
    <x v="38"/>
    <x v="0"/>
  </r>
  <r>
    <x v="41"/>
    <x v="11"/>
    <x v="1"/>
    <x v="1"/>
    <x v="2"/>
    <x v="1"/>
    <x v="36"/>
    <x v="1"/>
    <x v="39"/>
    <x v="1"/>
  </r>
  <r>
    <x v="42"/>
    <x v="11"/>
    <x v="1"/>
    <x v="1"/>
    <x v="5"/>
    <x v="1"/>
    <x v="14"/>
    <x v="2"/>
    <x v="40"/>
    <x v="0"/>
  </r>
  <r>
    <x v="42"/>
    <x v="11"/>
    <x v="1"/>
    <x v="1"/>
    <x v="5"/>
    <x v="1"/>
    <x v="14"/>
    <x v="2"/>
    <x v="40"/>
    <x v="0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data>
    <tabular pivotCacheId="1">
      <items count="4">
        <i x="1" s="1"/>
        <i x="0" s="1"/>
        <i x="2" s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" sourceName="Item">
  <data>
    <tabular pivotCacheId="1">
      <items count="6">
        <i x="1" s="1"/>
        <i x="3" s="1"/>
        <i x="2" s="1"/>
        <i x="4" s="1"/>
        <i x="0" s="1"/>
        <i x="5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p" sourceName="Rep">
  <data>
    <tabular pivotCacheId="1">
      <items count="12">
        <i x="5" s="1"/>
        <i x="3" s="1"/>
        <i x="8" s="1"/>
        <i x="2" s="1"/>
        <i x="0" s="1"/>
        <i x="1" s="1"/>
        <i x="7" s="1"/>
        <i x="9" s="1"/>
        <i x="10" s="1"/>
        <i x="4" s="1"/>
        <i x="6" s="1"/>
        <i x="11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ly" sourceName="Monthly">
  <data>
    <tabular pivotCacheId="1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Cartegory" sourceName="Order Cartegory">
  <data>
    <tabular pivotCacheId="1">
      <items count="3">
        <i x="1" s="1"/>
        <i x="0" s="1"/>
        <i x="2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Item" cache="Slicer_Item" caption="Item" rowHeight="225425"/>
  <slicer name="Rep" cache="Slicer_Rep" caption="Rep" rowHeight="225425"/>
  <slicer name="Monthly" cache="Slicer_Monthly" caption="Monthly" startItem="1" rowHeight="225425"/>
  <slicer name="Order Cartegory" cache="Slicer_Order_Cartegory" caption="Order Cartegory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X24"/>
  <sheetViews>
    <sheetView tabSelected="1" workbookViewId="0">
      <selection activeCell="B3" sqref="B3"/>
    </sheetView>
  </sheetViews>
  <sheetFormatPr defaultColWidth="8.72727272727273" defaultRowHeight="14.5"/>
  <cols>
    <col min="1" max="1" width="15.0909090909091" customWidth="1"/>
    <col min="2" max="2" width="16" customWidth="1"/>
    <col min="5" max="5" width="16.5454545454545" customWidth="1"/>
    <col min="6" max="6" width="12.4545454545455" customWidth="1"/>
    <col min="9" max="9" width="12.1818181818182" customWidth="1"/>
    <col min="14" max="14" width="11.6363636363636"/>
    <col min="15" max="15" width="17.7272727272727"/>
  </cols>
  <sheetData>
    <row r="1" ht="18.5" spans="1:24">
      <c r="A1" s="1" t="s">
        <v>0</v>
      </c>
      <c r="B1" s="2">
        <f>SUM([1]CopyOfSalesDataset!I2:I45)</f>
        <v>19767.6</v>
      </c>
      <c r="C1" s="1"/>
      <c r="D1" s="1"/>
      <c r="E1" s="1" t="s">
        <v>1</v>
      </c>
      <c r="F1" s="3">
        <f>AVERAGE([1]CopyOfSalesDataset!I2:I45)</f>
        <v>449.263636363637</v>
      </c>
      <c r="G1" s="1"/>
      <c r="H1" s="1"/>
      <c r="I1" s="1" t="s">
        <v>2</v>
      </c>
      <c r="J1" s="1">
        <f>MIN([1]CopyOfSalesDataset!I2:I45)</f>
        <v>9.03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8.5" spans="1:24">
      <c r="A2" s="1" t="s">
        <v>3</v>
      </c>
      <c r="B2" s="4">
        <f>SUM([1]CopyOfSalesDataset!G2:G45)</f>
        <v>2149</v>
      </c>
      <c r="C2" s="1"/>
      <c r="D2" s="1"/>
      <c r="E2" s="1" t="s">
        <v>4</v>
      </c>
      <c r="F2" s="2">
        <f>MAX([1]CopyOfSalesDataset!I2:I45)</f>
        <v>1879.06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21" spans="1:24">
      <c r="B3" s="5"/>
      <c r="L3" s="6"/>
      <c r="M3" s="6"/>
      <c r="N3" s="7" t="s">
        <v>5</v>
      </c>
      <c r="O3" s="7"/>
      <c r="P3" s="7"/>
      <c r="Q3" s="7"/>
      <c r="R3" s="7"/>
      <c r="S3" s="7"/>
      <c r="T3" s="7"/>
      <c r="U3" s="7"/>
      <c r="V3" s="7"/>
      <c r="W3" s="7"/>
      <c r="X3" s="7"/>
    </row>
    <row r="4" ht="21" spans="1:24">
      <c r="B4" s="5"/>
      <c r="E4" s="8" t="s">
        <v>6</v>
      </c>
      <c r="F4" s="8"/>
      <c r="G4" s="8"/>
      <c r="H4" s="8"/>
      <c r="I4" s="8"/>
      <c r="J4" s="8"/>
      <c r="K4" s="8"/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1" spans="1:24">
      <c r="E5" s="8"/>
      <c r="F5" s="8"/>
      <c r="G5" s="8"/>
      <c r="H5" s="8"/>
      <c r="I5" s="8"/>
      <c r="J5" s="8"/>
      <c r="K5" s="8"/>
    </row>
    <row r="23" spans="1:24">
      <c r="A23" s="8" t="s">
        <v>7</v>
      </c>
      <c r="B23" s="8"/>
      <c r="C23" s="8"/>
      <c r="D23" s="8"/>
      <c r="E23" s="8"/>
      <c r="F23" s="8"/>
      <c r="G23" s="8"/>
      <c r="H23" s="8"/>
      <c r="I23" s="8"/>
      <c r="N23" s="9" t="s">
        <v>8</v>
      </c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</sheetData>
  <mergeCells count="3">
    <mergeCell ref="N3:X4"/>
    <mergeCell ref="A23:I24"/>
    <mergeCell ref="N23:X2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2026-04-03T08:57:00Z</dcterms:created>
  <dcterms:modified xsi:type="dcterms:W3CDTF">2026-04-03T08:58:08Z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E9AF8FACD9AD472185AD606F12B04214_11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